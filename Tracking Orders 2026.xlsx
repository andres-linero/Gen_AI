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linero/Desktop/Full Time Dev/"/>
    </mc:Choice>
  </mc:AlternateContent>
  <xr:revisionPtr revIDLastSave="0" documentId="8_{D8CA647D-496E-8946-807E-BB68D88AECE6}" xr6:coauthVersionLast="47" xr6:coauthVersionMax="47" xr10:uidLastSave="{00000000-0000-0000-0000-000000000000}"/>
  <bookViews>
    <workbookView xWindow="0" yWindow="680" windowWidth="29400" windowHeight="18440" xr2:uid="{D3E5D723-D44E-A84B-A306-F7997CF7541B}"/>
  </bookViews>
  <sheets>
    <sheet name="JAN" sheetId="1" r:id="rId1"/>
    <sheet name="FEB" sheetId="2" r:id="rId2"/>
  </sheets>
  <definedNames>
    <definedName name="_xlnm._FilterDatabase" localSheetId="1" hidden="1">FEB!$A$1:$N$1</definedName>
    <definedName name="_xlnm._FilterDatabase" localSheetId="0" hidden="1">JAN!$A$1:$N$1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1" l="1"/>
  <c r="F154" i="1"/>
  <c r="F36" i="2"/>
  <c r="H36" i="2"/>
  <c r="J36" i="2"/>
  <c r="K36" i="2"/>
  <c r="F35" i="2"/>
  <c r="H35" i="2"/>
  <c r="J35" i="2" s="1"/>
  <c r="K35" i="2"/>
  <c r="F34" i="2"/>
  <c r="H34" i="2"/>
  <c r="J34" i="2" s="1"/>
  <c r="K34" i="2"/>
  <c r="F33" i="2"/>
  <c r="H33" i="2"/>
  <c r="J33" i="2"/>
  <c r="K33" i="2"/>
  <c r="F32" i="2"/>
  <c r="H32" i="2"/>
  <c r="J32" i="2"/>
  <c r="K32" i="2"/>
  <c r="K31" i="2"/>
  <c r="H31" i="2"/>
  <c r="J31" i="2" s="1"/>
  <c r="F31" i="2"/>
  <c r="K30" i="2"/>
  <c r="H30" i="2"/>
  <c r="J30" i="2" s="1"/>
  <c r="F30" i="2"/>
  <c r="K29" i="2"/>
  <c r="H29" i="2"/>
  <c r="J29" i="2" s="1"/>
  <c r="F29" i="2"/>
  <c r="K28" i="2"/>
  <c r="J28" i="2"/>
  <c r="H28" i="2"/>
  <c r="F28" i="2"/>
  <c r="K27" i="2"/>
  <c r="H27" i="2"/>
  <c r="J27" i="2" s="1"/>
  <c r="F27" i="2"/>
  <c r="K26" i="2"/>
  <c r="H26" i="2"/>
  <c r="J26" i="2" s="1"/>
  <c r="F26" i="2"/>
  <c r="K25" i="2"/>
  <c r="H25" i="2"/>
  <c r="J25" i="2" s="1"/>
  <c r="F25" i="2"/>
  <c r="K24" i="2"/>
  <c r="H24" i="2"/>
  <c r="J24" i="2" s="1"/>
  <c r="F24" i="2"/>
  <c r="K119" i="1"/>
  <c r="K23" i="2"/>
  <c r="J23" i="2"/>
  <c r="H23" i="2"/>
  <c r="F23" i="2"/>
  <c r="K22" i="2"/>
  <c r="J22" i="2"/>
  <c r="H22" i="2"/>
  <c r="F22" i="2"/>
  <c r="K21" i="2"/>
  <c r="J21" i="2"/>
  <c r="H21" i="2"/>
  <c r="F21" i="2"/>
  <c r="K20" i="2"/>
  <c r="H20" i="2"/>
  <c r="J20" i="2" s="1"/>
  <c r="F20" i="2"/>
  <c r="H19" i="2"/>
  <c r="F19" i="2"/>
  <c r="H18" i="2"/>
  <c r="F18" i="2"/>
  <c r="F17" i="2"/>
  <c r="H17" i="2"/>
  <c r="K16" i="2"/>
  <c r="H16" i="2"/>
  <c r="J16" i="2" s="1"/>
  <c r="F16" i="2"/>
  <c r="H15" i="2"/>
  <c r="F15" i="2"/>
  <c r="H14" i="2"/>
  <c r="F14" i="2"/>
  <c r="H13" i="2"/>
  <c r="F13" i="2"/>
  <c r="F11" i="2"/>
  <c r="H11" i="2"/>
  <c r="F12" i="2"/>
  <c r="H12" i="2"/>
  <c r="F10" i="2"/>
  <c r="H10" i="2"/>
  <c r="H9" i="2"/>
  <c r="F9" i="2"/>
  <c r="H8" i="2"/>
  <c r="F8" i="2"/>
  <c r="H7" i="2"/>
  <c r="F7" i="2"/>
  <c r="F6" i="2"/>
  <c r="H6" i="2"/>
  <c r="J6" i="2"/>
  <c r="K6" i="2"/>
  <c r="F153" i="1"/>
  <c r="H153" i="1"/>
  <c r="J153" i="1" s="1"/>
  <c r="K153" i="1"/>
  <c r="H152" i="1"/>
  <c r="F152" i="1"/>
  <c r="F151" i="1"/>
  <c r="H151" i="1"/>
  <c r="F3" i="2"/>
  <c r="H3" i="2"/>
  <c r="F4" i="2"/>
  <c r="H4" i="2"/>
  <c r="F5" i="2"/>
  <c r="H5" i="2"/>
  <c r="H150" i="1"/>
  <c r="F150" i="1"/>
  <c r="H149" i="1"/>
  <c r="F149" i="1"/>
  <c r="H148" i="1"/>
  <c r="F148" i="1"/>
  <c r="H147" i="1"/>
  <c r="F147" i="1"/>
  <c r="F146" i="1"/>
  <c r="H146" i="1"/>
  <c r="H145" i="1"/>
  <c r="F145" i="1"/>
  <c r="H2" i="2"/>
  <c r="F2" i="2"/>
  <c r="H144" i="1"/>
  <c r="F144" i="1"/>
  <c r="H143" i="1"/>
  <c r="F143" i="1"/>
  <c r="H142" i="1"/>
  <c r="F142" i="1"/>
  <c r="H141" i="1"/>
  <c r="F141" i="1"/>
  <c r="K140" i="1"/>
  <c r="H140" i="1"/>
  <c r="J140" i="1" s="1"/>
  <c r="F140" i="1"/>
  <c r="K139" i="1"/>
  <c r="H139" i="1"/>
  <c r="J139" i="1" s="1"/>
  <c r="F139" i="1"/>
  <c r="K138" i="1"/>
  <c r="H138" i="1"/>
  <c r="J138" i="1" s="1"/>
  <c r="F138" i="1"/>
  <c r="K137" i="1"/>
  <c r="H137" i="1"/>
  <c r="J137" i="1" s="1"/>
  <c r="F137" i="1"/>
  <c r="K126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F126" i="1"/>
  <c r="H126" i="1"/>
  <c r="J126" i="1" s="1"/>
  <c r="H129" i="1"/>
  <c r="F129" i="1"/>
  <c r="H128" i="1"/>
  <c r="F128" i="1"/>
  <c r="H127" i="1"/>
  <c r="F127" i="1"/>
  <c r="J116" i="1"/>
  <c r="H125" i="1"/>
  <c r="F125" i="1"/>
  <c r="F124" i="1"/>
  <c r="H124" i="1"/>
  <c r="H123" i="1"/>
  <c r="F123" i="1"/>
  <c r="H122" i="1"/>
  <c r="F122" i="1"/>
  <c r="H121" i="1"/>
  <c r="F121" i="1"/>
  <c r="H120" i="1"/>
  <c r="F120" i="1"/>
  <c r="H119" i="1"/>
  <c r="J119" i="1" s="1"/>
  <c r="F119" i="1"/>
  <c r="H118" i="1"/>
  <c r="F118" i="1"/>
  <c r="H117" i="1"/>
  <c r="F117" i="1"/>
  <c r="K116" i="1"/>
  <c r="H116" i="1"/>
  <c r="F116" i="1"/>
  <c r="H115" i="1"/>
  <c r="F115" i="1"/>
  <c r="F114" i="1"/>
  <c r="H114" i="1"/>
  <c r="H113" i="1"/>
  <c r="F113" i="1"/>
  <c r="H112" i="1"/>
  <c r="F112" i="1"/>
  <c r="F111" i="1"/>
  <c r="H111" i="1"/>
  <c r="H110" i="1"/>
  <c r="F110" i="1"/>
  <c r="H109" i="1"/>
  <c r="F109" i="1"/>
  <c r="F108" i="1"/>
  <c r="H108" i="1"/>
  <c r="H107" i="1"/>
  <c r="F107" i="1"/>
  <c r="F106" i="1"/>
  <c r="H106" i="1"/>
  <c r="H105" i="1"/>
  <c r="F105" i="1"/>
  <c r="F104" i="1"/>
  <c r="H104" i="1"/>
  <c r="H103" i="1"/>
  <c r="F103" i="1"/>
  <c r="H102" i="1"/>
  <c r="F102" i="1"/>
  <c r="F101" i="1"/>
  <c r="H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K80" i="1"/>
  <c r="H85" i="1"/>
  <c r="F85" i="1"/>
  <c r="H84" i="1"/>
  <c r="F84" i="1"/>
  <c r="H83" i="1"/>
  <c r="F83" i="1"/>
  <c r="H82" i="1"/>
  <c r="F82" i="1"/>
  <c r="H81" i="1"/>
  <c r="F81" i="1"/>
  <c r="H80" i="1"/>
  <c r="J80" i="1" s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F66" i="1"/>
  <c r="H66" i="1"/>
  <c r="F65" i="1"/>
  <c r="H65" i="1"/>
  <c r="F64" i="1"/>
  <c r="H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F53" i="1"/>
  <c r="H53" i="1"/>
  <c r="F52" i="1"/>
  <c r="H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 l="1"/>
  <c r="F42" i="1"/>
  <c r="H41" i="1"/>
  <c r="F41" i="1"/>
  <c r="H40" i="1"/>
  <c r="F40" i="1"/>
  <c r="H39" i="1"/>
  <c r="F39" i="1"/>
  <c r="F38" i="1"/>
  <c r="H38" i="1"/>
  <c r="F37" i="1"/>
  <c r="H37" i="1"/>
  <c r="F35" i="1"/>
  <c r="H35" i="1"/>
  <c r="F36" i="1"/>
  <c r="H36" i="1"/>
  <c r="H34" i="1"/>
  <c r="F34" i="1"/>
  <c r="H33" i="1"/>
  <c r="F33" i="1"/>
  <c r="H32" i="1"/>
  <c r="F32" i="1"/>
  <c r="H24" i="1"/>
  <c r="F24" i="1"/>
  <c r="H23" i="1"/>
  <c r="F23" i="1"/>
  <c r="H26" i="1"/>
  <c r="F26" i="1"/>
  <c r="H27" i="1"/>
  <c r="F27" i="1"/>
  <c r="H30" i="1"/>
  <c r="F30" i="1"/>
  <c r="H29" i="1"/>
  <c r="F29" i="1"/>
  <c r="F28" i="1"/>
  <c r="H28" i="1"/>
  <c r="H31" i="1"/>
  <c r="F31" i="1"/>
  <c r="H25" i="1"/>
  <c r="F25" i="1"/>
  <c r="H22" i="1"/>
  <c r="F22" i="1"/>
  <c r="H21" i="1"/>
  <c r="F21" i="1"/>
  <c r="F20" i="1"/>
  <c r="H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H2" i="1"/>
  <c r="F3" i="1"/>
  <c r="F2" i="1"/>
</calcChain>
</file>

<file path=xl/sharedStrings.xml><?xml version="1.0" encoding="utf-8"?>
<sst xmlns="http://schemas.openxmlformats.org/spreadsheetml/2006/main" count="1153" uniqueCount="344">
  <si>
    <t>Today</t>
  </si>
  <si>
    <t>Schedule Pick/Delivery</t>
  </si>
  <si>
    <t>Deadline</t>
  </si>
  <si>
    <t>Requested by</t>
  </si>
  <si>
    <t>Deadline Status</t>
  </si>
  <si>
    <t>Status</t>
  </si>
  <si>
    <t>Time</t>
  </si>
  <si>
    <t>W-139450</t>
  </si>
  <si>
    <t>Skyline</t>
  </si>
  <si>
    <t>271 W 47th St</t>
  </si>
  <si>
    <t>Jacob</t>
  </si>
  <si>
    <t>Given To  (OFFICE)</t>
  </si>
  <si>
    <t>Given To (WH)</t>
  </si>
  <si>
    <t xml:space="preserve">Elite Quality Construction </t>
  </si>
  <si>
    <t xml:space="preserve">Tomas </t>
  </si>
  <si>
    <t>Emmanuel</t>
  </si>
  <si>
    <t xml:space="preserve">37-16 Union St </t>
  </si>
  <si>
    <t xml:space="preserve">Breiner </t>
  </si>
  <si>
    <t>W-139459</t>
  </si>
  <si>
    <t xml:space="preserve">kama Construction </t>
  </si>
  <si>
    <t xml:space="preserve">645 E 14th St </t>
  </si>
  <si>
    <t xml:space="preserve">Jacob </t>
  </si>
  <si>
    <t xml:space="preserve">14 Wall St </t>
  </si>
  <si>
    <t>W-139463</t>
  </si>
  <si>
    <t>W-139472</t>
  </si>
  <si>
    <t>W-139475</t>
  </si>
  <si>
    <t>W-139485</t>
  </si>
  <si>
    <t xml:space="preserve">Edged Industries </t>
  </si>
  <si>
    <t xml:space="preserve">450 5th Ave </t>
  </si>
  <si>
    <t>W-139486</t>
  </si>
  <si>
    <t xml:space="preserve">747 3rd Ave </t>
  </si>
  <si>
    <t>Delivery</t>
  </si>
  <si>
    <t xml:space="preserve">Bunlin LLC </t>
  </si>
  <si>
    <t>W-139503</t>
  </si>
  <si>
    <t>Cesar Rendon</t>
  </si>
  <si>
    <t>W-139508</t>
  </si>
  <si>
    <t>W-139510</t>
  </si>
  <si>
    <t xml:space="preserve">46 Claremont Ave </t>
  </si>
  <si>
    <t xml:space="preserve">Luis </t>
  </si>
  <si>
    <t>W-139511</t>
  </si>
  <si>
    <t xml:space="preserve">POFI Contracting </t>
  </si>
  <si>
    <t>315 W 232nd Srt</t>
  </si>
  <si>
    <t>W-139500</t>
  </si>
  <si>
    <t>W-139517</t>
  </si>
  <si>
    <t>W-139516</t>
  </si>
  <si>
    <t>W-139501</t>
  </si>
  <si>
    <t>Alexander Wolf &amp; Son</t>
  </si>
  <si>
    <t>Edifice Design Inc</t>
  </si>
  <si>
    <t>121-08 84th Avenue</t>
  </si>
  <si>
    <t>3539 9th St</t>
  </si>
  <si>
    <t>Patricia</t>
  </si>
  <si>
    <t>Maria</t>
  </si>
  <si>
    <t>W-139548</t>
  </si>
  <si>
    <t>W-139549</t>
  </si>
  <si>
    <t>W-139551</t>
  </si>
  <si>
    <t>W-139556</t>
  </si>
  <si>
    <t>W-139563</t>
  </si>
  <si>
    <t>W-139564</t>
  </si>
  <si>
    <t>W-139565</t>
  </si>
  <si>
    <t>645 E 14th St</t>
  </si>
  <si>
    <t>Bunlin LLC</t>
  </si>
  <si>
    <t>443 Hicks St</t>
  </si>
  <si>
    <t>W-139566</t>
  </si>
  <si>
    <t xml:space="preserve">Milcon Construction </t>
  </si>
  <si>
    <t>777 Seaview Ave</t>
  </si>
  <si>
    <t>W-139585</t>
  </si>
  <si>
    <t>W-139586</t>
  </si>
  <si>
    <t>W-139592 (ROF)</t>
  </si>
  <si>
    <t>W-139594</t>
  </si>
  <si>
    <t xml:space="preserve">AJP Contracting </t>
  </si>
  <si>
    <t xml:space="preserve">475 Washington Ave </t>
  </si>
  <si>
    <t>Javier</t>
  </si>
  <si>
    <t xml:space="preserve">Emmanuel </t>
  </si>
  <si>
    <t>W-139602</t>
  </si>
  <si>
    <t>W-139604</t>
  </si>
  <si>
    <t xml:space="preserve">200 W 200th St </t>
  </si>
  <si>
    <t>W-139610 (ROF)</t>
  </si>
  <si>
    <t>W-139612</t>
  </si>
  <si>
    <t>W-139611</t>
  </si>
  <si>
    <t>Doria Scaffolding</t>
  </si>
  <si>
    <t xml:space="preserve">18 West 55th St </t>
  </si>
  <si>
    <t>W-139614</t>
  </si>
  <si>
    <t>CartVall Construction</t>
  </si>
  <si>
    <t>111 East 88th st</t>
  </si>
  <si>
    <t>W-139633</t>
  </si>
  <si>
    <t>37-16 Union St.</t>
  </si>
  <si>
    <t>W-139649</t>
  </si>
  <si>
    <t>Jacobo</t>
  </si>
  <si>
    <t>W-139650</t>
  </si>
  <si>
    <t>W-139652</t>
  </si>
  <si>
    <t>3550 Bivona St</t>
  </si>
  <si>
    <t>W-139658</t>
  </si>
  <si>
    <t>515 West 110th Street</t>
  </si>
  <si>
    <t>Tomas</t>
  </si>
  <si>
    <t xml:space="preserve"> W-139655 (ROF)</t>
  </si>
  <si>
    <t xml:space="preserve">PJP Installer </t>
  </si>
  <si>
    <t>200 Central Park W</t>
  </si>
  <si>
    <t>W-139682</t>
  </si>
  <si>
    <t>620 6th Ave</t>
  </si>
  <si>
    <t>W-139677</t>
  </si>
  <si>
    <t>W-139689</t>
  </si>
  <si>
    <t xml:space="preserve">225 River St </t>
  </si>
  <si>
    <t>W-139695</t>
  </si>
  <si>
    <t>W-139697</t>
  </si>
  <si>
    <t>747 3rd Ave</t>
  </si>
  <si>
    <t>W-139701</t>
  </si>
  <si>
    <t>W-139710</t>
  </si>
  <si>
    <t>634 Washington St</t>
  </si>
  <si>
    <t>W-139728</t>
  </si>
  <si>
    <t>14 Wall St.</t>
  </si>
  <si>
    <t>W-139732</t>
  </si>
  <si>
    <t>East Coast Builder</t>
  </si>
  <si>
    <t>1372 Washington Ave</t>
  </si>
  <si>
    <t>W-139740</t>
  </si>
  <si>
    <t>Ramon Manuel</t>
  </si>
  <si>
    <t>W-139742</t>
  </si>
  <si>
    <t>W-139744</t>
  </si>
  <si>
    <t xml:space="preserve">Tribute Restoration </t>
  </si>
  <si>
    <t>160 W 77th St</t>
  </si>
  <si>
    <t>W-139747</t>
  </si>
  <si>
    <t>285 Schermerhorn S</t>
  </si>
  <si>
    <t>W-139754</t>
  </si>
  <si>
    <t xml:space="preserve">33 Washington Square </t>
  </si>
  <si>
    <t>W-139756</t>
  </si>
  <si>
    <t xml:space="preserve">171 W 57th St </t>
  </si>
  <si>
    <t>W-139771</t>
  </si>
  <si>
    <t>130 8th Ave</t>
  </si>
  <si>
    <t>W-139757</t>
  </si>
  <si>
    <t>101 Andrews Ln</t>
  </si>
  <si>
    <t>W-139775</t>
  </si>
  <si>
    <t>5 Times Square</t>
  </si>
  <si>
    <t>W-139777</t>
  </si>
  <si>
    <t>W-139779</t>
  </si>
  <si>
    <t>116 West 32nd St</t>
  </si>
  <si>
    <t>W-139790</t>
  </si>
  <si>
    <t>16 W 16th St</t>
  </si>
  <si>
    <t>Javier Fuentes</t>
  </si>
  <si>
    <t xml:space="preserve">MGR Restoration </t>
  </si>
  <si>
    <t>48-11 69th St</t>
  </si>
  <si>
    <t>Jacob Neri</t>
  </si>
  <si>
    <t>W-139789</t>
  </si>
  <si>
    <t>880 5th Ave</t>
  </si>
  <si>
    <t>W-139794</t>
  </si>
  <si>
    <t xml:space="preserve">New Horizon Restoration </t>
  </si>
  <si>
    <t>225 River St</t>
  </si>
  <si>
    <t>W-139795</t>
  </si>
  <si>
    <t>70 5th Ave</t>
  </si>
  <si>
    <t>W-139798</t>
  </si>
  <si>
    <t>121 Nassau St</t>
  </si>
  <si>
    <t>Schnell Contracting</t>
  </si>
  <si>
    <t>180 West Market Street</t>
  </si>
  <si>
    <t>318 Lafayette St</t>
  </si>
  <si>
    <t>W-139825</t>
  </si>
  <si>
    <t>12 Beekman pl</t>
  </si>
  <si>
    <t xml:space="preserve">Nova Construction </t>
  </si>
  <si>
    <t>440 West 21st St</t>
  </si>
  <si>
    <t>164 Bank St</t>
  </si>
  <si>
    <t>W-139832</t>
  </si>
  <si>
    <t>W-139856</t>
  </si>
  <si>
    <t>15900 Riverside Dr W</t>
  </si>
  <si>
    <t xml:space="preserve">Affect Group </t>
  </si>
  <si>
    <t>11 Essex St</t>
  </si>
  <si>
    <t>W-139865</t>
  </si>
  <si>
    <t>W-139863 (ROF)</t>
  </si>
  <si>
    <t>W-139867</t>
  </si>
  <si>
    <t>W-139866</t>
  </si>
  <si>
    <t>W-139868</t>
  </si>
  <si>
    <t>100 Washington Square E</t>
  </si>
  <si>
    <t>W-139873</t>
  </si>
  <si>
    <t>W-139876</t>
  </si>
  <si>
    <t>115 W 31st St</t>
  </si>
  <si>
    <t>W-139878 (ROF)</t>
  </si>
  <si>
    <t>W-139879</t>
  </si>
  <si>
    <t>W-139892</t>
  </si>
  <si>
    <t xml:space="preserve">333 E 68th St </t>
  </si>
  <si>
    <t>W-139909</t>
  </si>
  <si>
    <t>DVM Industries</t>
  </si>
  <si>
    <t xml:space="preserve">P&amp;k Contracting </t>
  </si>
  <si>
    <t>210 Joralemon</t>
  </si>
  <si>
    <t>3441 85th St</t>
  </si>
  <si>
    <t>W-139912</t>
  </si>
  <si>
    <t>Bunlin</t>
  </si>
  <si>
    <t>W-139914</t>
  </si>
  <si>
    <t>421 East 168th St</t>
  </si>
  <si>
    <t>231 Norman Ave</t>
  </si>
  <si>
    <t>W-139921</t>
  </si>
  <si>
    <t>147 West 70th St</t>
  </si>
  <si>
    <t>W-139933</t>
  </si>
  <si>
    <t>W-139936</t>
  </si>
  <si>
    <t>W-139938</t>
  </si>
  <si>
    <t>32 Washington Place</t>
  </si>
  <si>
    <t>W-139963</t>
  </si>
  <si>
    <t>W-139965</t>
  </si>
  <si>
    <t>W-139968</t>
  </si>
  <si>
    <t>207-01 116th Ave</t>
  </si>
  <si>
    <t>W-139980</t>
  </si>
  <si>
    <t>35-49 76th St</t>
  </si>
  <si>
    <t>W-139994</t>
  </si>
  <si>
    <t>W-139993</t>
  </si>
  <si>
    <t>2 Gansevoort St</t>
  </si>
  <si>
    <t>W-140003</t>
  </si>
  <si>
    <t>812 Park Ave</t>
  </si>
  <si>
    <t>W-140005</t>
  </si>
  <si>
    <t>W-140004</t>
  </si>
  <si>
    <t>RETURNS</t>
  </si>
  <si>
    <t>W-139791 (ROF)</t>
  </si>
  <si>
    <t>W-140060</t>
  </si>
  <si>
    <t xml:space="preserve">Citiline Restoration </t>
  </si>
  <si>
    <t>2 West St</t>
  </si>
  <si>
    <t>3475 Bivona St</t>
  </si>
  <si>
    <t>W-140069</t>
  </si>
  <si>
    <t>W-140081</t>
  </si>
  <si>
    <t>RO</t>
  </si>
  <si>
    <t>SO</t>
  </si>
  <si>
    <t>IR</t>
  </si>
  <si>
    <t>6 West 25th Street</t>
  </si>
  <si>
    <t>W-140095</t>
  </si>
  <si>
    <t>740 Broadway</t>
  </si>
  <si>
    <t>W-140096</t>
  </si>
  <si>
    <t xml:space="preserve">Lions GROup NYC </t>
  </si>
  <si>
    <t>DMG GROup NYC</t>
  </si>
  <si>
    <t xml:space="preserve">222 BROadway </t>
  </si>
  <si>
    <t xml:space="preserve">New ROc Contracting </t>
  </si>
  <si>
    <t xml:space="preserve">49 CROwn St </t>
  </si>
  <si>
    <t>222 BROadway</t>
  </si>
  <si>
    <t xml:space="preserve">1440 BROadway </t>
  </si>
  <si>
    <t xml:space="preserve">740 BROadway </t>
  </si>
  <si>
    <t>MNR GROup Inc</t>
  </si>
  <si>
    <t>1440 BROadway</t>
  </si>
  <si>
    <t>Jose ROdriguez</t>
  </si>
  <si>
    <t>95 Old BROadway</t>
  </si>
  <si>
    <t xml:space="preserve">Affect GROup </t>
  </si>
  <si>
    <t>102-10 ROckaway Blvd</t>
  </si>
  <si>
    <t>CROzier Fine Arts</t>
  </si>
  <si>
    <t>740 BROadway</t>
  </si>
  <si>
    <t>Alexander Wolf &amp; SOn</t>
  </si>
  <si>
    <t>MaSOn Construction Services</t>
  </si>
  <si>
    <t>Nestor FructuoSO</t>
  </si>
  <si>
    <t xml:space="preserve">20-50 SeagIRt blvd </t>
  </si>
  <si>
    <t>WladimIR</t>
  </si>
  <si>
    <t>Miguel ANaNstacio</t>
  </si>
  <si>
    <t>4287 KatoNaNh Ave Suite 180</t>
  </si>
  <si>
    <t xml:space="preserve">PaNaNma </t>
  </si>
  <si>
    <t xml:space="preserve">DNaN Contracting </t>
  </si>
  <si>
    <t>Preserv Building Restoration MaNaNgement</t>
  </si>
  <si>
    <t>3550 BivoNaN St</t>
  </si>
  <si>
    <t xml:space="preserve">Canido BaSONaNs </t>
  </si>
  <si>
    <t>NaN</t>
  </si>
  <si>
    <t>121 NaNssau St</t>
  </si>
  <si>
    <t xml:space="preserve">CRO-InterNaNcioNaNl </t>
  </si>
  <si>
    <t>3475 BivoNaN St</t>
  </si>
  <si>
    <t>W-140116</t>
  </si>
  <si>
    <t>1470 Amsterdam Ave</t>
  </si>
  <si>
    <t>W-140117 (ROF)</t>
  </si>
  <si>
    <t>55 Bethune st</t>
  </si>
  <si>
    <t>W-140118</t>
  </si>
  <si>
    <t>Metro Fire Control</t>
  </si>
  <si>
    <t>W-140119</t>
  </si>
  <si>
    <t>463 West Street</t>
  </si>
  <si>
    <t>W-140130 (ROF)</t>
  </si>
  <si>
    <t>W-140131 (ROF)</t>
  </si>
  <si>
    <t>New Roc Contracting Corp</t>
  </si>
  <si>
    <t>W-140136 (ROF)</t>
  </si>
  <si>
    <t>W-140138 (ROF)</t>
  </si>
  <si>
    <t>W-140144</t>
  </si>
  <si>
    <t>W-140147</t>
  </si>
  <si>
    <t>W-140146</t>
  </si>
  <si>
    <t>Luis</t>
  </si>
  <si>
    <t>14 Lecount Pl</t>
  </si>
  <si>
    <t>W-140173</t>
  </si>
  <si>
    <t>437 Madison Ave</t>
  </si>
  <si>
    <t>W-140177</t>
  </si>
  <si>
    <t>W-140178</t>
  </si>
  <si>
    <t>Affect Group</t>
  </si>
  <si>
    <t xml:space="preserve">Manuel </t>
  </si>
  <si>
    <t>W-140198</t>
  </si>
  <si>
    <t>W-140201</t>
  </si>
  <si>
    <t>142 E 16th St</t>
  </si>
  <si>
    <t xml:space="preserve">Cesar Rendon  </t>
  </si>
  <si>
    <t>W-140207</t>
  </si>
  <si>
    <t>W-140208</t>
  </si>
  <si>
    <t>345 E 93rd St</t>
  </si>
  <si>
    <t>W-140211</t>
  </si>
  <si>
    <t>DNA (Rentals)</t>
  </si>
  <si>
    <t>Order_Type</t>
  </si>
  <si>
    <t>Order_ID</t>
  </si>
  <si>
    <t>Customer_name</t>
  </si>
  <si>
    <t>Ship_to</t>
  </si>
  <si>
    <t>W-140221</t>
  </si>
  <si>
    <t>Skyline (Rentals)</t>
  </si>
  <si>
    <t>W-140219</t>
  </si>
  <si>
    <t>Canido Basonas Construction Services</t>
  </si>
  <si>
    <t>304-324 E 41st St</t>
  </si>
  <si>
    <t>Mannuel</t>
  </si>
  <si>
    <t>W-140237</t>
  </si>
  <si>
    <t>420 E 54th St</t>
  </si>
  <si>
    <t>W-140253</t>
  </si>
  <si>
    <t>49 Crown St</t>
  </si>
  <si>
    <t>W-140265</t>
  </si>
  <si>
    <t>W-140263</t>
  </si>
  <si>
    <t>Internal Chanche</t>
  </si>
  <si>
    <t>W-140270</t>
  </si>
  <si>
    <t xml:space="preserve">Jacobo </t>
  </si>
  <si>
    <t>W-140279</t>
  </si>
  <si>
    <t xml:space="preserve">Preserv Building Restoration </t>
  </si>
  <si>
    <t>69 Murray St</t>
  </si>
  <si>
    <t>W-140303</t>
  </si>
  <si>
    <t>56-10 Grand Ave</t>
  </si>
  <si>
    <t>World Class Demolition Company</t>
  </si>
  <si>
    <t>W-140308</t>
  </si>
  <si>
    <t xml:space="preserve">Xinos Construction Corp </t>
  </si>
  <si>
    <t>33 Bowery</t>
  </si>
  <si>
    <t>W-140317</t>
  </si>
  <si>
    <t>Edge Industries Inc</t>
  </si>
  <si>
    <t>22 Hardenburg ave</t>
  </si>
  <si>
    <t>W-140318</t>
  </si>
  <si>
    <t>W-140320</t>
  </si>
  <si>
    <t xml:space="preserve">55 Bethune  St </t>
  </si>
  <si>
    <t>Metreo Fire Control</t>
  </si>
  <si>
    <t>W-140261 (ROF)</t>
  </si>
  <si>
    <t>Lions Group NYC</t>
  </si>
  <si>
    <t>Tribute Restoration ,Inc</t>
  </si>
  <si>
    <t>175 W 95th St</t>
  </si>
  <si>
    <t xml:space="preserve">CM &amp; Associates Construction Management </t>
  </si>
  <si>
    <t>262 5th Ave</t>
  </si>
  <si>
    <t xml:space="preserve">Nova Construction Services </t>
  </si>
  <si>
    <t>52 William St</t>
  </si>
  <si>
    <t>340 E 29th St</t>
  </si>
  <si>
    <t>W-140378</t>
  </si>
  <si>
    <t>W-140369</t>
  </si>
  <si>
    <t>W-140373</t>
  </si>
  <si>
    <t>W-140380</t>
  </si>
  <si>
    <t>Key Restoration Corporation</t>
  </si>
  <si>
    <t>815 W 181st St</t>
  </si>
  <si>
    <t>W-140383 (ROF)</t>
  </si>
  <si>
    <t>POFI Construction Corp``</t>
  </si>
  <si>
    <t>900 Palmer Rd</t>
  </si>
  <si>
    <t>W-140387</t>
  </si>
  <si>
    <t>W-140391</t>
  </si>
  <si>
    <t>530 Broadway</t>
  </si>
  <si>
    <t>W-140393</t>
  </si>
  <si>
    <t>W-140397</t>
  </si>
  <si>
    <t>288 East 88th st</t>
  </si>
  <si>
    <t>W-134563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</si>
</sst>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61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8AAEE9"/>
        <bgColor rgb="FF000000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8" fontId="1" fillId="2" borderId="3" xfId="0" applyNumberFormat="1" applyFont="1" applyFill="1" applyBorder="1" applyAlignment="1">
      <alignment horizontal="center" vertical="center"/>
    </xf>
    <xf numFmtId="18" fontId="6" fillId="2" borderId="3" xfId="0" applyNumberFormat="1" applyFont="1" applyFill="1" applyBorder="1" applyAlignment="1">
      <alignment horizontal="center" vertical="center"/>
    </xf>
    <xf numFmtId="18" fontId="8" fillId="2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8" fontId="0" fillId="0" borderId="6" xfId="0" applyNumberFormat="1" applyBorder="1" applyAlignment="1">
      <alignment horizontal="center" vertical="center"/>
    </xf>
    <xf numFmtId="18" fontId="4" fillId="0" borderId="3" xfId="0" applyNumberFormat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>
          <bgColor rgb="FF878F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598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theme="2" tint="-0.24994659260841701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2" tint="-0.24994659260841701"/>
        </patternFill>
      </fill>
    </dxf>
    <dxf>
      <fill>
        <patternFill>
          <bgColor rgb="FF878F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598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78F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598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theme="2" tint="-0.24994659260841701"/>
        </patternFill>
      </fill>
    </dxf>
    <dxf>
      <fill>
        <patternFill>
          <bgColor rgb="FFC598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78F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theme="2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878F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598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theme="2" tint="-0.24994659260841701"/>
        </patternFill>
      </fill>
    </dxf>
    <dxf>
      <fill>
        <patternFill>
          <bgColor rgb="FF878F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598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theme="2" tint="-0.24994659260841701"/>
        </patternFill>
      </fill>
    </dxf>
    <dxf>
      <fill>
        <patternFill>
          <bgColor rgb="FF878F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598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bgColor rgb="FFE6C2DA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DC6C"/>
      <color rgb="FF941651"/>
      <color rgb="FF009193"/>
      <color rgb="FFE9B65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3883-E6E5-154E-996C-DD571A286431}">
  <dimension ref="A1:N154"/>
  <sheetViews>
    <sheetView tabSelected="1" topLeftCell="A131" zoomScaleNormal="100" workbookViewId="0">
      <selection activeCell="D160" sqref="D160"/>
    </sheetView>
  </sheetViews>
  <sheetFormatPr baseColWidth="10" defaultColWidth="11" defaultRowHeight="16" x14ac:dyDescent="0.2"/>
  <cols>
    <col min="1" max="1" width="10.83203125" customWidth="1"/>
    <col min="2" max="2" width="16.1640625" bestFit="1" customWidth="1"/>
    <col min="3" max="3" width="26.1640625" customWidth="1"/>
    <col min="4" max="4" width="37.1640625" customWidth="1"/>
    <col min="5" max="5" width="27" customWidth="1"/>
    <col min="6" max="6" width="16.5" customWidth="1"/>
    <col min="7" max="7" width="20.5" customWidth="1"/>
    <col min="8" max="8" width="15.33203125" customWidth="1"/>
    <col min="9" max="9" width="18" customWidth="1"/>
    <col min="10" max="10" width="28.1640625" customWidth="1"/>
    <col min="11" max="11" width="24.1640625" customWidth="1"/>
    <col min="12" max="12" width="23.83203125" bestFit="1" customWidth="1"/>
    <col min="13" max="13" width="23.83203125" customWidth="1"/>
    <col min="14" max="14" width="21.6640625" customWidth="1"/>
  </cols>
  <sheetData>
    <row r="1" spans="1:14" ht="20" thickBot="1" x14ac:dyDescent="0.25">
      <c r="A1" s="26" t="s">
        <v>213</v>
      </c>
      <c r="B1" s="26" t="s">
        <v>284</v>
      </c>
      <c r="C1" s="26" t="s">
        <v>285</v>
      </c>
      <c r="D1" s="26" t="s">
        <v>286</v>
      </c>
      <c r="E1" s="26" t="s">
        <v>287</v>
      </c>
      <c r="F1" s="26" t="s">
        <v>0</v>
      </c>
      <c r="G1" s="26" t="s">
        <v>1</v>
      </c>
      <c r="H1" s="26" t="s">
        <v>2</v>
      </c>
      <c r="I1" s="26" t="s">
        <v>3</v>
      </c>
      <c r="J1" s="26" t="s">
        <v>4</v>
      </c>
      <c r="K1" s="26" t="s">
        <v>5</v>
      </c>
      <c r="L1" s="26" t="s">
        <v>11</v>
      </c>
      <c r="M1" s="26" t="s">
        <v>12</v>
      </c>
      <c r="N1" s="27" t="s">
        <v>6</v>
      </c>
    </row>
    <row r="2" spans="1:14" x14ac:dyDescent="0.2">
      <c r="A2" s="28">
        <v>18465</v>
      </c>
      <c r="B2" s="1" t="s">
        <v>212</v>
      </c>
      <c r="C2" s="1" t="s">
        <v>7</v>
      </c>
      <c r="D2" s="1" t="s">
        <v>8</v>
      </c>
      <c r="E2" s="1" t="s">
        <v>9</v>
      </c>
      <c r="F2" s="2">
        <f t="shared" ref="F2:F22" ca="1" si="0">TODAY()</f>
        <v>46065</v>
      </c>
      <c r="G2" s="2">
        <v>46024</v>
      </c>
      <c r="H2" s="2">
        <f t="shared" ref="H2:H23" si="1">G2 + 10</f>
        <v>46034</v>
      </c>
      <c r="I2" s="1" t="s">
        <v>10</v>
      </c>
      <c r="J2" s="1"/>
      <c r="K2" s="1"/>
      <c r="L2" s="17" t="s">
        <v>50</v>
      </c>
      <c r="M2" s="17" t="s">
        <v>240</v>
      </c>
      <c r="N2" s="18"/>
    </row>
    <row r="3" spans="1:14" x14ac:dyDescent="0.2">
      <c r="A3" s="28">
        <v>18244</v>
      </c>
      <c r="B3" s="1" t="s">
        <v>213</v>
      </c>
      <c r="C3" s="1">
        <v>11746</v>
      </c>
      <c r="D3" s="1" t="s">
        <v>13</v>
      </c>
      <c r="E3" s="1" t="s">
        <v>241</v>
      </c>
      <c r="F3" s="2">
        <f t="shared" ca="1" si="0"/>
        <v>46065</v>
      </c>
      <c r="G3" s="2">
        <v>46024</v>
      </c>
      <c r="H3" s="2">
        <f t="shared" si="1"/>
        <v>46034</v>
      </c>
      <c r="I3" s="1" t="s">
        <v>14</v>
      </c>
      <c r="J3" s="4"/>
      <c r="K3" s="5"/>
      <c r="L3" s="19" t="s">
        <v>50</v>
      </c>
      <c r="M3" s="19" t="s">
        <v>15</v>
      </c>
      <c r="N3" s="20"/>
    </row>
    <row r="4" spans="1:14" x14ac:dyDescent="0.2">
      <c r="A4" s="28">
        <v>18437</v>
      </c>
      <c r="B4" s="1" t="s">
        <v>214</v>
      </c>
      <c r="C4" s="1" t="s">
        <v>23</v>
      </c>
      <c r="D4" s="1" t="s">
        <v>219</v>
      </c>
      <c r="E4" s="1" t="s">
        <v>16</v>
      </c>
      <c r="F4" s="2">
        <f t="shared" ca="1" si="0"/>
        <v>46065</v>
      </c>
      <c r="G4" s="2">
        <v>46024</v>
      </c>
      <c r="H4" s="2">
        <f t="shared" si="1"/>
        <v>46034</v>
      </c>
      <c r="I4" s="1" t="s">
        <v>17</v>
      </c>
      <c r="J4" s="4"/>
      <c r="K4" s="5"/>
      <c r="L4" s="19" t="s">
        <v>51</v>
      </c>
      <c r="M4" s="19" t="s">
        <v>242</v>
      </c>
      <c r="N4" s="20"/>
    </row>
    <row r="5" spans="1:14" x14ac:dyDescent="0.2">
      <c r="A5" s="28">
        <v>18545</v>
      </c>
      <c r="B5" s="1" t="s">
        <v>213</v>
      </c>
      <c r="C5" s="1">
        <v>11955</v>
      </c>
      <c r="D5" s="1" t="s">
        <v>219</v>
      </c>
      <c r="E5" s="1" t="s">
        <v>16</v>
      </c>
      <c r="F5" s="2">
        <f t="shared" ca="1" si="0"/>
        <v>46065</v>
      </c>
      <c r="G5" s="2">
        <v>46024</v>
      </c>
      <c r="H5" s="2">
        <f t="shared" si="1"/>
        <v>46034</v>
      </c>
      <c r="I5" s="1" t="s">
        <v>17</v>
      </c>
      <c r="J5" s="4"/>
      <c r="K5" s="5"/>
      <c r="L5" s="19" t="s">
        <v>50</v>
      </c>
      <c r="M5" s="19" t="s">
        <v>242</v>
      </c>
      <c r="N5" s="20"/>
    </row>
    <row r="6" spans="1:14" x14ac:dyDescent="0.2">
      <c r="A6" s="28">
        <v>18539</v>
      </c>
      <c r="B6" s="1" t="s">
        <v>212</v>
      </c>
      <c r="C6" s="1" t="s">
        <v>18</v>
      </c>
      <c r="D6" s="1" t="s">
        <v>19</v>
      </c>
      <c r="E6" s="1" t="s">
        <v>20</v>
      </c>
      <c r="F6" s="2">
        <f t="shared" ca="1" si="0"/>
        <v>46065</v>
      </c>
      <c r="G6" s="2">
        <v>46024</v>
      </c>
      <c r="H6" s="2">
        <f t="shared" si="1"/>
        <v>46034</v>
      </c>
      <c r="I6" s="1" t="s">
        <v>21</v>
      </c>
      <c r="J6" s="4"/>
      <c r="K6" s="5"/>
      <c r="L6" s="19" t="s">
        <v>50</v>
      </c>
      <c r="M6" s="19" t="s">
        <v>31</v>
      </c>
      <c r="N6" s="20"/>
    </row>
    <row r="7" spans="1:14" x14ac:dyDescent="0.2">
      <c r="A7" s="28">
        <v>18544</v>
      </c>
      <c r="B7" s="1" t="s">
        <v>213</v>
      </c>
      <c r="C7" s="1">
        <v>11961</v>
      </c>
      <c r="D7" s="1" t="s">
        <v>19</v>
      </c>
      <c r="E7" s="1" t="s">
        <v>20</v>
      </c>
      <c r="F7" s="2">
        <f t="shared" ca="1" si="0"/>
        <v>46065</v>
      </c>
      <c r="G7" s="2">
        <v>46024</v>
      </c>
      <c r="H7" s="2">
        <f t="shared" si="1"/>
        <v>46034</v>
      </c>
      <c r="I7" s="1" t="s">
        <v>21</v>
      </c>
      <c r="J7" s="6"/>
      <c r="K7" s="6"/>
      <c r="L7" s="19" t="s">
        <v>50</v>
      </c>
      <c r="M7" s="19" t="s">
        <v>31</v>
      </c>
      <c r="N7" s="20"/>
    </row>
    <row r="8" spans="1:14" x14ac:dyDescent="0.2">
      <c r="A8" s="28">
        <v>18546</v>
      </c>
      <c r="B8" s="1" t="s">
        <v>212</v>
      </c>
      <c r="C8" s="1" t="s">
        <v>24</v>
      </c>
      <c r="D8" s="1" t="s">
        <v>8</v>
      </c>
      <c r="E8" s="1" t="s">
        <v>22</v>
      </c>
      <c r="F8" s="2">
        <f t="shared" ca="1" si="0"/>
        <v>46065</v>
      </c>
      <c r="G8" s="2">
        <v>46024</v>
      </c>
      <c r="H8" s="2">
        <f t="shared" si="1"/>
        <v>46034</v>
      </c>
      <c r="I8" s="1" t="s">
        <v>21</v>
      </c>
      <c r="J8" s="6"/>
      <c r="K8" s="6"/>
      <c r="L8" s="19" t="s">
        <v>50</v>
      </c>
      <c r="M8" s="19" t="s">
        <v>31</v>
      </c>
      <c r="N8" s="20"/>
    </row>
    <row r="9" spans="1:14" x14ac:dyDescent="0.2">
      <c r="A9" s="28">
        <v>18539</v>
      </c>
      <c r="B9" s="1" t="s">
        <v>212</v>
      </c>
      <c r="C9" s="1" t="s">
        <v>25</v>
      </c>
      <c r="D9" s="1" t="s">
        <v>19</v>
      </c>
      <c r="E9" s="1" t="s">
        <v>20</v>
      </c>
      <c r="F9" s="2">
        <f t="shared" ca="1" si="0"/>
        <v>46065</v>
      </c>
      <c r="G9" s="2">
        <v>46024</v>
      </c>
      <c r="H9" s="2">
        <f t="shared" si="1"/>
        <v>46034</v>
      </c>
      <c r="I9" s="1" t="s">
        <v>21</v>
      </c>
      <c r="J9" s="4"/>
      <c r="K9" s="5"/>
      <c r="L9" s="19" t="s">
        <v>50</v>
      </c>
      <c r="M9" s="19" t="s">
        <v>31</v>
      </c>
      <c r="N9" s="20"/>
    </row>
    <row r="10" spans="1:14" x14ac:dyDescent="0.2">
      <c r="A10" s="28">
        <v>16342</v>
      </c>
      <c r="B10" s="1" t="s">
        <v>212</v>
      </c>
      <c r="C10" s="1" t="s">
        <v>26</v>
      </c>
      <c r="D10" s="1" t="s">
        <v>27</v>
      </c>
      <c r="E10" s="1" t="s">
        <v>28</v>
      </c>
      <c r="F10" s="2">
        <f t="shared" ca="1" si="0"/>
        <v>46065</v>
      </c>
      <c r="G10" s="2">
        <v>46024</v>
      </c>
      <c r="H10" s="2">
        <f t="shared" si="1"/>
        <v>46034</v>
      </c>
      <c r="I10" s="1" t="s">
        <v>21</v>
      </c>
      <c r="J10" s="6"/>
      <c r="K10" s="6"/>
      <c r="L10" s="19" t="s">
        <v>51</v>
      </c>
      <c r="M10" s="19"/>
      <c r="N10" s="20"/>
    </row>
    <row r="11" spans="1:14" x14ac:dyDescent="0.2">
      <c r="A11" s="28">
        <v>18550</v>
      </c>
      <c r="B11" s="1" t="s">
        <v>212</v>
      </c>
      <c r="C11" s="1" t="s">
        <v>29</v>
      </c>
      <c r="D11" s="1" t="s">
        <v>27</v>
      </c>
      <c r="E11" s="1" t="s">
        <v>30</v>
      </c>
      <c r="F11" s="2">
        <f t="shared" ca="1" si="0"/>
        <v>46065</v>
      </c>
      <c r="G11" s="2">
        <v>46024</v>
      </c>
      <c r="H11" s="2">
        <f t="shared" si="1"/>
        <v>46034</v>
      </c>
      <c r="I11" s="1" t="s">
        <v>21</v>
      </c>
      <c r="J11" s="6"/>
      <c r="K11" s="6"/>
      <c r="L11" s="19" t="s">
        <v>50</v>
      </c>
      <c r="M11" s="19" t="s">
        <v>31</v>
      </c>
      <c r="N11" s="20"/>
    </row>
    <row r="12" spans="1:14" x14ac:dyDescent="0.2">
      <c r="A12" s="28">
        <v>18558</v>
      </c>
      <c r="B12" s="1" t="s">
        <v>212</v>
      </c>
      <c r="C12" s="1" t="s">
        <v>35</v>
      </c>
      <c r="D12" s="1" t="s">
        <v>220</v>
      </c>
      <c r="E12" s="1" t="s">
        <v>238</v>
      </c>
      <c r="F12" s="2">
        <f t="shared" ca="1" si="0"/>
        <v>46065</v>
      </c>
      <c r="G12" s="2">
        <v>46028</v>
      </c>
      <c r="H12" s="2">
        <f t="shared" si="1"/>
        <v>46038</v>
      </c>
      <c r="I12" s="1" t="s">
        <v>21</v>
      </c>
      <c r="J12" s="6"/>
      <c r="K12" s="6"/>
      <c r="L12" s="19" t="s">
        <v>50</v>
      </c>
      <c r="M12" s="19" t="s">
        <v>34</v>
      </c>
      <c r="N12" s="20"/>
    </row>
    <row r="13" spans="1:14" x14ac:dyDescent="0.2">
      <c r="A13" s="28">
        <v>18552</v>
      </c>
      <c r="B13" s="1" t="s">
        <v>212</v>
      </c>
      <c r="C13" s="1" t="s">
        <v>42</v>
      </c>
      <c r="D13" s="1" t="s">
        <v>32</v>
      </c>
      <c r="E13" s="1" t="s">
        <v>221</v>
      </c>
      <c r="F13" s="2">
        <f t="shared" ca="1" si="0"/>
        <v>46065</v>
      </c>
      <c r="G13" s="2">
        <v>46028</v>
      </c>
      <c r="H13" s="2">
        <f t="shared" si="1"/>
        <v>46038</v>
      </c>
      <c r="I13" s="1" t="s">
        <v>14</v>
      </c>
      <c r="J13" s="4"/>
      <c r="K13" s="5"/>
      <c r="L13" s="19" t="s">
        <v>50</v>
      </c>
      <c r="M13" s="19" t="s">
        <v>31</v>
      </c>
      <c r="N13" s="20"/>
    </row>
    <row r="14" spans="1:14" x14ac:dyDescent="0.2">
      <c r="A14" s="28">
        <v>18553</v>
      </c>
      <c r="B14" s="1" t="s">
        <v>212</v>
      </c>
      <c r="C14" s="1" t="s">
        <v>45</v>
      </c>
      <c r="D14" s="1" t="s">
        <v>32</v>
      </c>
      <c r="E14" s="1" t="s">
        <v>221</v>
      </c>
      <c r="F14" s="2">
        <f t="shared" ca="1" si="0"/>
        <v>46065</v>
      </c>
      <c r="G14" s="2">
        <v>46028</v>
      </c>
      <c r="H14" s="2">
        <f t="shared" si="1"/>
        <v>46038</v>
      </c>
      <c r="I14" s="1" t="s">
        <v>14</v>
      </c>
      <c r="J14" s="4"/>
      <c r="K14" s="5"/>
      <c r="L14" s="19" t="s">
        <v>50</v>
      </c>
      <c r="M14" s="19" t="s">
        <v>31</v>
      </c>
      <c r="N14" s="20"/>
    </row>
    <row r="15" spans="1:14" x14ac:dyDescent="0.2">
      <c r="A15" s="28">
        <v>18437</v>
      </c>
      <c r="B15" s="1" t="s">
        <v>214</v>
      </c>
      <c r="C15" s="1" t="s">
        <v>33</v>
      </c>
      <c r="D15" s="1" t="s">
        <v>219</v>
      </c>
      <c r="E15" s="1" t="s">
        <v>16</v>
      </c>
      <c r="F15" s="2">
        <f t="shared" ca="1" si="0"/>
        <v>46065</v>
      </c>
      <c r="G15" s="2">
        <v>46028</v>
      </c>
      <c r="H15" s="2">
        <f t="shared" si="1"/>
        <v>46038</v>
      </c>
      <c r="I15" s="1" t="s">
        <v>21</v>
      </c>
      <c r="J15" s="4"/>
      <c r="K15" s="5"/>
      <c r="L15" s="19" t="s">
        <v>51</v>
      </c>
      <c r="M15" s="19" t="s">
        <v>242</v>
      </c>
      <c r="N15" s="20"/>
    </row>
    <row r="16" spans="1:14" x14ac:dyDescent="0.2">
      <c r="A16" s="28">
        <v>18569</v>
      </c>
      <c r="B16" s="1" t="s">
        <v>212</v>
      </c>
      <c r="C16" s="1" t="s">
        <v>36</v>
      </c>
      <c r="D16" s="1" t="s">
        <v>222</v>
      </c>
      <c r="E16" s="1" t="s">
        <v>37</v>
      </c>
      <c r="F16" s="2">
        <f t="shared" ca="1" si="0"/>
        <v>46065</v>
      </c>
      <c r="G16" s="2">
        <v>46028</v>
      </c>
      <c r="H16" s="2">
        <f t="shared" si="1"/>
        <v>46038</v>
      </c>
      <c r="I16" s="1" t="s">
        <v>38</v>
      </c>
      <c r="J16" s="1"/>
      <c r="K16" s="1"/>
      <c r="L16" s="19" t="s">
        <v>50</v>
      </c>
      <c r="M16" s="19" t="s">
        <v>15</v>
      </c>
      <c r="N16" s="20"/>
    </row>
    <row r="17" spans="1:14" x14ac:dyDescent="0.2">
      <c r="A17" s="28">
        <v>18568</v>
      </c>
      <c r="B17" s="1" t="s">
        <v>212</v>
      </c>
      <c r="C17" s="1" t="s">
        <v>39</v>
      </c>
      <c r="D17" s="1" t="s">
        <v>40</v>
      </c>
      <c r="E17" s="1" t="s">
        <v>41</v>
      </c>
      <c r="F17" s="2">
        <f t="shared" ca="1" si="0"/>
        <v>46065</v>
      </c>
      <c r="G17" s="2">
        <v>46028</v>
      </c>
      <c r="H17" s="2">
        <f t="shared" si="1"/>
        <v>46038</v>
      </c>
      <c r="I17" s="1" t="s">
        <v>38</v>
      </c>
      <c r="J17" s="3"/>
      <c r="K17" s="3"/>
      <c r="L17" s="19" t="s">
        <v>50</v>
      </c>
      <c r="M17" s="19" t="s">
        <v>31</v>
      </c>
      <c r="N17" s="20"/>
    </row>
    <row r="18" spans="1:14" x14ac:dyDescent="0.2">
      <c r="A18" s="28">
        <v>10888</v>
      </c>
      <c r="B18" s="1" t="s">
        <v>212</v>
      </c>
      <c r="C18" s="1" t="s">
        <v>43</v>
      </c>
      <c r="D18" s="1" t="s">
        <v>8</v>
      </c>
      <c r="E18" s="1" t="s">
        <v>223</v>
      </c>
      <c r="F18" s="2">
        <f t="shared" ca="1" si="0"/>
        <v>46065</v>
      </c>
      <c r="G18" s="2">
        <v>46028</v>
      </c>
      <c r="H18" s="2">
        <f t="shared" si="1"/>
        <v>46038</v>
      </c>
      <c r="I18" s="1" t="s">
        <v>17</v>
      </c>
      <c r="J18" s="3"/>
      <c r="K18" s="3"/>
      <c r="L18" s="19" t="s">
        <v>51</v>
      </c>
      <c r="M18" s="19" t="s">
        <v>31</v>
      </c>
      <c r="N18" s="20"/>
    </row>
    <row r="19" spans="1:14" x14ac:dyDescent="0.2">
      <c r="A19" s="28">
        <v>6196</v>
      </c>
      <c r="B19" s="1" t="s">
        <v>212</v>
      </c>
      <c r="C19" s="1" t="s">
        <v>44</v>
      </c>
      <c r="D19" s="1" t="s">
        <v>8</v>
      </c>
      <c r="E19" s="1" t="s">
        <v>223</v>
      </c>
      <c r="F19" s="2">
        <f t="shared" ca="1" si="0"/>
        <v>46065</v>
      </c>
      <c r="G19" s="2">
        <v>46028</v>
      </c>
      <c r="H19" s="2">
        <f t="shared" si="1"/>
        <v>46038</v>
      </c>
      <c r="I19" s="1" t="s">
        <v>17</v>
      </c>
      <c r="J19" s="3"/>
      <c r="K19" s="3"/>
      <c r="L19" s="19" t="s">
        <v>51</v>
      </c>
      <c r="M19" s="19" t="s">
        <v>31</v>
      </c>
      <c r="N19" s="20"/>
    </row>
    <row r="20" spans="1:14" x14ac:dyDescent="0.2">
      <c r="A20" s="28">
        <v>18567</v>
      </c>
      <c r="B20" s="1" t="s">
        <v>213</v>
      </c>
      <c r="C20" s="1">
        <v>11979</v>
      </c>
      <c r="D20" s="1" t="s">
        <v>32</v>
      </c>
      <c r="E20" s="1" t="s">
        <v>221</v>
      </c>
      <c r="F20" s="2">
        <f ca="1">TODAY()</f>
        <v>46065</v>
      </c>
      <c r="G20" s="2">
        <v>46028</v>
      </c>
      <c r="H20" s="2">
        <f>G20 + 10</f>
        <v>46038</v>
      </c>
      <c r="I20" s="1" t="s">
        <v>14</v>
      </c>
      <c r="J20" s="3"/>
      <c r="K20" s="3"/>
      <c r="L20" s="19" t="s">
        <v>50</v>
      </c>
      <c r="M20" s="19" t="s">
        <v>31</v>
      </c>
      <c r="N20" s="20"/>
    </row>
    <row r="21" spans="1:14" x14ac:dyDescent="0.2">
      <c r="A21" s="28">
        <v>18575</v>
      </c>
      <c r="B21" s="1" t="s">
        <v>213</v>
      </c>
      <c r="C21" s="1">
        <v>11984</v>
      </c>
      <c r="D21" s="1" t="s">
        <v>47</v>
      </c>
      <c r="E21" s="1" t="s">
        <v>48</v>
      </c>
      <c r="F21" s="2">
        <f t="shared" ca="1" si="0"/>
        <v>46065</v>
      </c>
      <c r="G21" s="2">
        <v>46028</v>
      </c>
      <c r="H21" s="2">
        <f t="shared" si="1"/>
        <v>46038</v>
      </c>
      <c r="I21" s="1" t="s">
        <v>38</v>
      </c>
      <c r="J21" s="3"/>
      <c r="K21" s="3"/>
      <c r="L21" s="19" t="s">
        <v>50</v>
      </c>
      <c r="M21" s="19"/>
      <c r="N21" s="20"/>
    </row>
    <row r="22" spans="1:14" x14ac:dyDescent="0.2">
      <c r="A22" s="28">
        <v>18576</v>
      </c>
      <c r="B22" s="1" t="s">
        <v>213</v>
      </c>
      <c r="C22" s="1">
        <v>11985</v>
      </c>
      <c r="D22" s="1" t="s">
        <v>243</v>
      </c>
      <c r="E22" s="1" t="s">
        <v>49</v>
      </c>
      <c r="F22" s="2">
        <f t="shared" ca="1" si="0"/>
        <v>46065</v>
      </c>
      <c r="G22" s="2">
        <v>46028</v>
      </c>
      <c r="H22" s="2">
        <f t="shared" si="1"/>
        <v>46038</v>
      </c>
      <c r="I22" s="1" t="s">
        <v>38</v>
      </c>
      <c r="J22" s="3"/>
      <c r="K22" s="3"/>
      <c r="L22" s="19" t="s">
        <v>50</v>
      </c>
      <c r="M22" s="19"/>
      <c r="N22" s="20"/>
    </row>
    <row r="23" spans="1:14" x14ac:dyDescent="0.2">
      <c r="A23" s="28">
        <v>18552</v>
      </c>
      <c r="B23" s="1" t="s">
        <v>212</v>
      </c>
      <c r="C23" s="1" t="s">
        <v>52</v>
      </c>
      <c r="D23" s="1" t="s">
        <v>60</v>
      </c>
      <c r="E23" s="1" t="s">
        <v>224</v>
      </c>
      <c r="F23" s="2">
        <f t="shared" ref="F23:F27" ca="1" si="2">TODAY()</f>
        <v>46065</v>
      </c>
      <c r="G23" s="2">
        <v>46028</v>
      </c>
      <c r="H23" s="2">
        <f t="shared" si="1"/>
        <v>46038</v>
      </c>
      <c r="I23" s="1" t="s">
        <v>14</v>
      </c>
      <c r="J23" s="3"/>
      <c r="K23" s="3"/>
      <c r="L23" s="19" t="s">
        <v>51</v>
      </c>
      <c r="M23" s="19"/>
      <c r="N23" s="20"/>
    </row>
    <row r="24" spans="1:14" x14ac:dyDescent="0.2">
      <c r="A24" s="28">
        <v>18584</v>
      </c>
      <c r="B24" s="1" t="s">
        <v>212</v>
      </c>
      <c r="C24" s="1" t="s">
        <v>53</v>
      </c>
      <c r="D24" s="1" t="s">
        <v>244</v>
      </c>
      <c r="E24" s="1" t="s">
        <v>61</v>
      </c>
      <c r="F24" s="2">
        <f t="shared" ca="1" si="2"/>
        <v>46065</v>
      </c>
      <c r="G24" s="2">
        <v>46028</v>
      </c>
      <c r="H24" s="2">
        <f t="shared" ref="H24" si="3">G24 + 10</f>
        <v>46038</v>
      </c>
      <c r="I24" s="1" t="s">
        <v>38</v>
      </c>
      <c r="J24" s="3"/>
      <c r="K24" s="3"/>
      <c r="L24" s="19" t="s">
        <v>50</v>
      </c>
      <c r="M24" s="19"/>
      <c r="N24" s="20"/>
    </row>
    <row r="25" spans="1:14" x14ac:dyDescent="0.2">
      <c r="A25" s="28">
        <v>6196</v>
      </c>
      <c r="B25" s="1" t="s">
        <v>212</v>
      </c>
      <c r="C25" s="1" t="s">
        <v>54</v>
      </c>
      <c r="D25" s="1" t="s">
        <v>8</v>
      </c>
      <c r="E25" s="1" t="s">
        <v>223</v>
      </c>
      <c r="F25" s="2">
        <f t="shared" ca="1" si="2"/>
        <v>46065</v>
      </c>
      <c r="G25" s="2">
        <v>46028</v>
      </c>
      <c r="H25" s="2">
        <f t="shared" ref="H25:H26" si="4">G25 + 10</f>
        <v>46038</v>
      </c>
      <c r="I25" s="1" t="s">
        <v>17</v>
      </c>
      <c r="J25" s="3"/>
      <c r="K25" s="3"/>
      <c r="L25" s="19" t="s">
        <v>51</v>
      </c>
      <c r="M25" s="19" t="s">
        <v>31</v>
      </c>
      <c r="N25" s="20"/>
    </row>
    <row r="26" spans="1:14" x14ac:dyDescent="0.2">
      <c r="A26" s="28">
        <v>16741</v>
      </c>
      <c r="B26" s="1" t="s">
        <v>212</v>
      </c>
      <c r="C26" s="1" t="s">
        <v>55</v>
      </c>
      <c r="D26" s="1" t="s">
        <v>60</v>
      </c>
      <c r="E26" s="1" t="s">
        <v>224</v>
      </c>
      <c r="F26" s="2">
        <f t="shared" ca="1" si="2"/>
        <v>46065</v>
      </c>
      <c r="G26" s="2">
        <v>46028</v>
      </c>
      <c r="H26" s="2">
        <f t="shared" si="4"/>
        <v>46038</v>
      </c>
      <c r="I26" s="1" t="s">
        <v>14</v>
      </c>
      <c r="J26" s="3"/>
      <c r="K26" s="3"/>
      <c r="L26" s="19" t="s">
        <v>51</v>
      </c>
      <c r="M26" s="19" t="s">
        <v>31</v>
      </c>
      <c r="N26" s="20"/>
    </row>
    <row r="27" spans="1:14" x14ac:dyDescent="0.2">
      <c r="A27" s="28">
        <v>18586</v>
      </c>
      <c r="B27" s="1" t="s">
        <v>213</v>
      </c>
      <c r="C27" s="1">
        <v>12020</v>
      </c>
      <c r="D27" s="1" t="s">
        <v>60</v>
      </c>
      <c r="E27" s="1" t="s">
        <v>224</v>
      </c>
      <c r="F27" s="2">
        <f t="shared" ca="1" si="2"/>
        <v>46065</v>
      </c>
      <c r="G27" s="2">
        <v>46028</v>
      </c>
      <c r="H27" s="2">
        <f t="shared" ref="H27" si="5">G27 + 10</f>
        <v>46038</v>
      </c>
      <c r="I27" s="1" t="s">
        <v>14</v>
      </c>
      <c r="J27" s="3"/>
      <c r="K27" s="3"/>
      <c r="L27" s="19" t="s">
        <v>50</v>
      </c>
      <c r="M27" s="19" t="s">
        <v>31</v>
      </c>
      <c r="N27" s="20"/>
    </row>
    <row r="28" spans="1:14" x14ac:dyDescent="0.2">
      <c r="A28" s="28">
        <v>18580</v>
      </c>
      <c r="B28" s="1" t="s">
        <v>212</v>
      </c>
      <c r="C28" s="1" t="s">
        <v>56</v>
      </c>
      <c r="D28" s="1" t="s">
        <v>19</v>
      </c>
      <c r="E28" s="1" t="s">
        <v>59</v>
      </c>
      <c r="F28" s="2">
        <f ca="1">TODAY()</f>
        <v>46065</v>
      </c>
      <c r="G28" s="2">
        <v>46029</v>
      </c>
      <c r="H28" s="2">
        <f t="shared" ref="H28" si="6">G28 + 10</f>
        <v>46039</v>
      </c>
      <c r="I28" s="1" t="s">
        <v>21</v>
      </c>
      <c r="J28" s="3"/>
      <c r="K28" s="3"/>
      <c r="L28" s="19" t="s">
        <v>50</v>
      </c>
      <c r="M28" s="19" t="s">
        <v>31</v>
      </c>
      <c r="N28" s="20"/>
    </row>
    <row r="29" spans="1:14" x14ac:dyDescent="0.2">
      <c r="A29" s="28">
        <v>18580</v>
      </c>
      <c r="B29" s="1" t="s">
        <v>212</v>
      </c>
      <c r="C29" s="1" t="s">
        <v>57</v>
      </c>
      <c r="D29" s="1" t="s">
        <v>19</v>
      </c>
      <c r="E29" s="1" t="s">
        <v>59</v>
      </c>
      <c r="F29" s="2">
        <f t="shared" ref="F29:F30" ca="1" si="7">TODAY()</f>
        <v>46065</v>
      </c>
      <c r="G29" s="2">
        <v>46030</v>
      </c>
      <c r="H29" s="2">
        <f t="shared" ref="H29:H30" si="8">G29 + 10</f>
        <v>46040</v>
      </c>
      <c r="I29" s="1" t="s">
        <v>21</v>
      </c>
      <c r="J29" s="3"/>
      <c r="K29" s="3"/>
      <c r="L29" s="19" t="s">
        <v>50</v>
      </c>
      <c r="M29" s="19" t="s">
        <v>31</v>
      </c>
      <c r="N29" s="20"/>
    </row>
    <row r="30" spans="1:14" x14ac:dyDescent="0.2">
      <c r="A30" s="28">
        <v>18581</v>
      </c>
      <c r="B30" s="1" t="s">
        <v>213</v>
      </c>
      <c r="C30" s="1">
        <v>12024</v>
      </c>
      <c r="D30" s="1" t="s">
        <v>19</v>
      </c>
      <c r="E30" s="1" t="s">
        <v>59</v>
      </c>
      <c r="F30" s="2">
        <f t="shared" ca="1" si="7"/>
        <v>46065</v>
      </c>
      <c r="G30" s="2">
        <v>46029</v>
      </c>
      <c r="H30" s="2">
        <f t="shared" si="8"/>
        <v>46039</v>
      </c>
      <c r="I30" s="1" t="s">
        <v>21</v>
      </c>
      <c r="J30" s="3"/>
      <c r="K30" s="3"/>
      <c r="L30" s="19" t="s">
        <v>50</v>
      </c>
      <c r="M30" s="19" t="s">
        <v>31</v>
      </c>
      <c r="N30" s="20"/>
    </row>
    <row r="31" spans="1:14" x14ac:dyDescent="0.2">
      <c r="A31" s="28">
        <v>18512</v>
      </c>
      <c r="B31" s="1" t="s">
        <v>212</v>
      </c>
      <c r="C31" s="1" t="s">
        <v>58</v>
      </c>
      <c r="D31" s="1" t="s">
        <v>27</v>
      </c>
      <c r="E31" s="1" t="s">
        <v>225</v>
      </c>
      <c r="F31" s="2">
        <f ca="1">TODAY()</f>
        <v>46065</v>
      </c>
      <c r="G31" s="2">
        <v>46028</v>
      </c>
      <c r="H31" s="2">
        <f>G31 + 10</f>
        <v>46038</v>
      </c>
      <c r="I31" s="1" t="s">
        <v>38</v>
      </c>
      <c r="J31" s="3"/>
      <c r="K31" s="3"/>
      <c r="L31" s="19" t="s">
        <v>50</v>
      </c>
      <c r="M31" s="19"/>
      <c r="N31" s="20"/>
    </row>
    <row r="32" spans="1:14" x14ac:dyDescent="0.2">
      <c r="A32" s="28">
        <v>18582</v>
      </c>
      <c r="B32" s="1" t="s">
        <v>212</v>
      </c>
      <c r="C32" s="1" t="s">
        <v>62</v>
      </c>
      <c r="D32" s="1" t="s">
        <v>63</v>
      </c>
      <c r="E32" s="1" t="s">
        <v>64</v>
      </c>
      <c r="F32" s="2">
        <f ca="1">TODAY()</f>
        <v>46065</v>
      </c>
      <c r="G32" s="2">
        <v>46028</v>
      </c>
      <c r="H32" s="2">
        <f>G32 + 10</f>
        <v>46038</v>
      </c>
      <c r="I32" s="7" t="s">
        <v>14</v>
      </c>
      <c r="J32" s="3"/>
      <c r="K32" s="3"/>
      <c r="L32" s="21" t="s">
        <v>50</v>
      </c>
      <c r="M32" s="19" t="s">
        <v>31</v>
      </c>
      <c r="N32" s="20"/>
    </row>
    <row r="33" spans="1:14" x14ac:dyDescent="0.2">
      <c r="A33" s="28">
        <v>17348</v>
      </c>
      <c r="B33" s="1" t="s">
        <v>214</v>
      </c>
      <c r="C33" s="1" t="s">
        <v>65</v>
      </c>
      <c r="D33" s="1" t="s">
        <v>235</v>
      </c>
      <c r="E33" s="1" t="s">
        <v>226</v>
      </c>
      <c r="F33" s="2">
        <f t="shared" ref="F33:F34" ca="1" si="9">TODAY()</f>
        <v>46065</v>
      </c>
      <c r="G33" s="2">
        <v>46028</v>
      </c>
      <c r="H33" s="2">
        <f t="shared" ref="H33:H34" si="10">G33 + 10</f>
        <v>46038</v>
      </c>
      <c r="I33" s="7" t="s">
        <v>21</v>
      </c>
      <c r="J33" s="3"/>
      <c r="K33" s="3"/>
      <c r="L33" s="21" t="s">
        <v>50</v>
      </c>
      <c r="M33" s="19" t="s">
        <v>242</v>
      </c>
      <c r="N33" s="20"/>
    </row>
    <row r="34" spans="1:14" x14ac:dyDescent="0.2">
      <c r="A34" s="28">
        <v>18437</v>
      </c>
      <c r="B34" s="1" t="s">
        <v>214</v>
      </c>
      <c r="C34" s="1" t="s">
        <v>66</v>
      </c>
      <c r="D34" s="1" t="s">
        <v>219</v>
      </c>
      <c r="E34" s="1" t="s">
        <v>16</v>
      </c>
      <c r="F34" s="2">
        <f t="shared" ca="1" si="9"/>
        <v>46065</v>
      </c>
      <c r="G34" s="2">
        <v>46028</v>
      </c>
      <c r="H34" s="2">
        <f t="shared" si="10"/>
        <v>46038</v>
      </c>
      <c r="I34" s="7" t="s">
        <v>21</v>
      </c>
      <c r="J34" s="3"/>
      <c r="K34" s="3"/>
      <c r="L34" s="21" t="s">
        <v>51</v>
      </c>
      <c r="M34" s="19" t="s">
        <v>242</v>
      </c>
      <c r="N34" s="20"/>
    </row>
    <row r="35" spans="1:14" x14ac:dyDescent="0.2">
      <c r="A35" s="28">
        <v>17629</v>
      </c>
      <c r="B35" s="1" t="s">
        <v>212</v>
      </c>
      <c r="C35" s="1" t="s">
        <v>67</v>
      </c>
      <c r="D35" s="1" t="s">
        <v>69</v>
      </c>
      <c r="E35" s="1" t="s">
        <v>70</v>
      </c>
      <c r="F35" s="2">
        <f t="shared" ref="F35:F51" ca="1" si="11">TODAY()</f>
        <v>46065</v>
      </c>
      <c r="G35" s="2">
        <v>46028</v>
      </c>
      <c r="H35" s="2">
        <f t="shared" ref="H35:H51" si="12">G35 + 10</f>
        <v>46038</v>
      </c>
      <c r="I35" s="7" t="s">
        <v>14</v>
      </c>
      <c r="J35" s="3"/>
      <c r="K35" s="3"/>
      <c r="L35" s="21" t="s">
        <v>204</v>
      </c>
      <c r="M35" s="19" t="s">
        <v>71</v>
      </c>
      <c r="N35" s="20"/>
    </row>
    <row r="36" spans="1:14" x14ac:dyDescent="0.2">
      <c r="A36" s="28">
        <v>17629</v>
      </c>
      <c r="B36" s="1" t="s">
        <v>212</v>
      </c>
      <c r="C36" s="1" t="s">
        <v>68</v>
      </c>
      <c r="D36" s="1" t="s">
        <v>69</v>
      </c>
      <c r="E36" s="1" t="s">
        <v>70</v>
      </c>
      <c r="F36" s="2">
        <f t="shared" ca="1" si="11"/>
        <v>46065</v>
      </c>
      <c r="G36" s="2">
        <v>46028</v>
      </c>
      <c r="H36" s="2">
        <f t="shared" si="12"/>
        <v>46038</v>
      </c>
      <c r="I36" s="7" t="s">
        <v>14</v>
      </c>
      <c r="J36" s="3"/>
      <c r="K36" s="3"/>
      <c r="L36" s="21" t="s">
        <v>51</v>
      </c>
      <c r="M36" s="19" t="s">
        <v>72</v>
      </c>
      <c r="N36" s="20"/>
    </row>
    <row r="37" spans="1:14" x14ac:dyDescent="0.2">
      <c r="A37" s="28">
        <v>18437</v>
      </c>
      <c r="B37" s="1" t="s">
        <v>214</v>
      </c>
      <c r="C37" s="1" t="s">
        <v>73</v>
      </c>
      <c r="D37" s="1" t="s">
        <v>219</v>
      </c>
      <c r="E37" s="1" t="s">
        <v>16</v>
      </c>
      <c r="F37" s="2">
        <f t="shared" ca="1" si="11"/>
        <v>46065</v>
      </c>
      <c r="G37" s="2">
        <v>46028</v>
      </c>
      <c r="H37" s="2">
        <f t="shared" si="12"/>
        <v>46038</v>
      </c>
      <c r="I37" s="7" t="s">
        <v>21</v>
      </c>
      <c r="J37" s="3"/>
      <c r="K37" s="3"/>
      <c r="L37" s="21" t="s">
        <v>51</v>
      </c>
      <c r="M37" s="19" t="s">
        <v>242</v>
      </c>
      <c r="N37" s="20"/>
    </row>
    <row r="38" spans="1:14" x14ac:dyDescent="0.2">
      <c r="A38" s="28">
        <v>18580</v>
      </c>
      <c r="B38" s="1" t="s">
        <v>212</v>
      </c>
      <c r="C38" s="1" t="s">
        <v>74</v>
      </c>
      <c r="D38" s="1" t="s">
        <v>19</v>
      </c>
      <c r="E38" s="1" t="s">
        <v>59</v>
      </c>
      <c r="F38" s="2">
        <f t="shared" ca="1" si="11"/>
        <v>46065</v>
      </c>
      <c r="G38" s="2">
        <v>46029</v>
      </c>
      <c r="H38" s="2">
        <f t="shared" si="12"/>
        <v>46039</v>
      </c>
      <c r="I38" s="7" t="s">
        <v>21</v>
      </c>
      <c r="J38" s="3"/>
      <c r="K38" s="3"/>
      <c r="L38" s="21" t="s">
        <v>51</v>
      </c>
      <c r="M38" s="19" t="s">
        <v>31</v>
      </c>
      <c r="N38" s="20"/>
    </row>
    <row r="39" spans="1:14" x14ac:dyDescent="0.2">
      <c r="A39" s="28">
        <v>17165</v>
      </c>
      <c r="B39" s="1" t="s">
        <v>212</v>
      </c>
      <c r="C39" s="1" t="s">
        <v>76</v>
      </c>
      <c r="D39" s="1" t="s">
        <v>8</v>
      </c>
      <c r="E39" s="1" t="s">
        <v>75</v>
      </c>
      <c r="F39" s="2">
        <f t="shared" ca="1" si="11"/>
        <v>46065</v>
      </c>
      <c r="G39" s="2">
        <v>46029</v>
      </c>
      <c r="H39" s="2">
        <f t="shared" si="12"/>
        <v>46039</v>
      </c>
      <c r="I39" s="7" t="s">
        <v>38</v>
      </c>
      <c r="J39" s="3"/>
      <c r="K39" s="3"/>
      <c r="L39" s="21" t="s">
        <v>204</v>
      </c>
      <c r="M39" s="19"/>
      <c r="N39" s="20"/>
    </row>
    <row r="40" spans="1:14" x14ac:dyDescent="0.2">
      <c r="A40" s="28">
        <v>17165</v>
      </c>
      <c r="B40" s="1" t="s">
        <v>212</v>
      </c>
      <c r="C40" s="1" t="s">
        <v>77</v>
      </c>
      <c r="D40" s="1" t="s">
        <v>8</v>
      </c>
      <c r="E40" s="1" t="s">
        <v>75</v>
      </c>
      <c r="F40" s="2">
        <f t="shared" ca="1" si="11"/>
        <v>46065</v>
      </c>
      <c r="G40" s="2">
        <v>46029</v>
      </c>
      <c r="H40" s="2">
        <f t="shared" si="12"/>
        <v>46039</v>
      </c>
      <c r="I40" s="7" t="s">
        <v>38</v>
      </c>
      <c r="J40" s="3"/>
      <c r="K40" s="3"/>
      <c r="L40" s="21" t="s">
        <v>51</v>
      </c>
      <c r="M40" s="19"/>
      <c r="N40" s="20"/>
    </row>
    <row r="41" spans="1:14" x14ac:dyDescent="0.2">
      <c r="A41" s="28">
        <v>18618</v>
      </c>
      <c r="B41" s="1" t="s">
        <v>212</v>
      </c>
      <c r="C41" s="1" t="s">
        <v>78</v>
      </c>
      <c r="D41" s="1" t="s">
        <v>79</v>
      </c>
      <c r="E41" s="1" t="s">
        <v>80</v>
      </c>
      <c r="F41" s="2">
        <f t="shared" ca="1" si="11"/>
        <v>46065</v>
      </c>
      <c r="G41" s="2">
        <v>46029</v>
      </c>
      <c r="H41" s="2">
        <f t="shared" si="12"/>
        <v>46039</v>
      </c>
      <c r="I41" s="7" t="s">
        <v>38</v>
      </c>
      <c r="J41" s="3"/>
      <c r="K41" s="3"/>
      <c r="L41" s="21" t="s">
        <v>50</v>
      </c>
      <c r="M41" s="19"/>
      <c r="N41" s="20"/>
    </row>
    <row r="42" spans="1:14" x14ac:dyDescent="0.2">
      <c r="A42" s="28">
        <v>18619</v>
      </c>
      <c r="B42" s="1" t="s">
        <v>212</v>
      </c>
      <c r="C42" s="1" t="s">
        <v>81</v>
      </c>
      <c r="D42" s="1" t="s">
        <v>82</v>
      </c>
      <c r="E42" s="1" t="s">
        <v>83</v>
      </c>
      <c r="F42" s="2">
        <f t="shared" ca="1" si="11"/>
        <v>46065</v>
      </c>
      <c r="G42" s="2">
        <v>46029</v>
      </c>
      <c r="H42" s="2">
        <f t="shared" si="12"/>
        <v>46039</v>
      </c>
      <c r="I42" s="7" t="s">
        <v>38</v>
      </c>
      <c r="J42" s="3"/>
      <c r="K42" s="3"/>
      <c r="L42" s="21" t="s">
        <v>50</v>
      </c>
      <c r="M42" s="19"/>
      <c r="N42" s="20"/>
    </row>
    <row r="43" spans="1:14" x14ac:dyDescent="0.2">
      <c r="A43" s="28">
        <v>18437</v>
      </c>
      <c r="B43" s="1" t="s">
        <v>214</v>
      </c>
      <c r="C43" s="1" t="s">
        <v>84</v>
      </c>
      <c r="D43" s="1" t="s">
        <v>219</v>
      </c>
      <c r="E43" s="1" t="s">
        <v>85</v>
      </c>
      <c r="F43" s="2">
        <f t="shared" ca="1" si="11"/>
        <v>46065</v>
      </c>
      <c r="G43" s="2">
        <v>46029</v>
      </c>
      <c r="H43" s="2">
        <f t="shared" si="12"/>
        <v>46039</v>
      </c>
      <c r="I43" s="7" t="s">
        <v>38</v>
      </c>
      <c r="J43" s="3"/>
      <c r="K43" s="3"/>
      <c r="L43" s="21" t="s">
        <v>51</v>
      </c>
      <c r="M43" s="19"/>
      <c r="N43" s="20"/>
    </row>
    <row r="44" spans="1:14" x14ac:dyDescent="0.2">
      <c r="A44" s="28">
        <v>18437</v>
      </c>
      <c r="B44" s="1" t="s">
        <v>214</v>
      </c>
      <c r="C44" s="1" t="s">
        <v>86</v>
      </c>
      <c r="D44" s="1" t="s">
        <v>219</v>
      </c>
      <c r="E44" s="1" t="s">
        <v>85</v>
      </c>
      <c r="F44" s="2">
        <f t="shared" ca="1" si="11"/>
        <v>46065</v>
      </c>
      <c r="G44" s="2">
        <v>46029</v>
      </c>
      <c r="H44" s="2">
        <f t="shared" si="12"/>
        <v>46039</v>
      </c>
      <c r="I44" s="7" t="s">
        <v>87</v>
      </c>
      <c r="J44" s="3"/>
      <c r="K44" s="3"/>
      <c r="L44" s="21" t="s">
        <v>51</v>
      </c>
      <c r="M44" s="19"/>
      <c r="N44" s="20"/>
    </row>
    <row r="45" spans="1:14" x14ac:dyDescent="0.2">
      <c r="A45" s="28">
        <v>18580</v>
      </c>
      <c r="B45" s="1" t="s">
        <v>212</v>
      </c>
      <c r="C45" s="1" t="s">
        <v>88</v>
      </c>
      <c r="D45" s="1" t="s">
        <v>19</v>
      </c>
      <c r="E45" s="1" t="s">
        <v>59</v>
      </c>
      <c r="F45" s="2">
        <f t="shared" ca="1" si="11"/>
        <v>46065</v>
      </c>
      <c r="G45" s="2">
        <v>46029</v>
      </c>
      <c r="H45" s="2">
        <f t="shared" si="12"/>
        <v>46039</v>
      </c>
      <c r="I45" s="7" t="s">
        <v>38</v>
      </c>
      <c r="J45" s="3"/>
      <c r="K45" s="3"/>
      <c r="L45" s="21" t="s">
        <v>51</v>
      </c>
      <c r="M45" s="19"/>
      <c r="N45" s="20"/>
    </row>
    <row r="46" spans="1:14" x14ac:dyDescent="0.2">
      <c r="A46" s="28">
        <v>18635</v>
      </c>
      <c r="B46" s="1" t="s">
        <v>213</v>
      </c>
      <c r="C46" s="1">
        <v>12053</v>
      </c>
      <c r="D46" s="1" t="s">
        <v>19</v>
      </c>
      <c r="E46" s="1" t="s">
        <v>59</v>
      </c>
      <c r="F46" s="2">
        <f t="shared" ca="1" si="11"/>
        <v>46065</v>
      </c>
      <c r="G46" s="2">
        <v>46029</v>
      </c>
      <c r="H46" s="2">
        <f t="shared" si="12"/>
        <v>46039</v>
      </c>
      <c r="I46" s="7" t="s">
        <v>38</v>
      </c>
      <c r="J46" s="3"/>
      <c r="K46" s="3"/>
      <c r="L46" s="21" t="s">
        <v>50</v>
      </c>
      <c r="M46" s="19"/>
      <c r="N46" s="20"/>
    </row>
    <row r="47" spans="1:14" x14ac:dyDescent="0.2">
      <c r="A47" s="28">
        <v>18636</v>
      </c>
      <c r="B47" s="1" t="s">
        <v>212</v>
      </c>
      <c r="C47" s="1" t="s">
        <v>89</v>
      </c>
      <c r="D47" s="1" t="s">
        <v>27</v>
      </c>
      <c r="E47" s="1" t="s">
        <v>245</v>
      </c>
      <c r="F47" s="2">
        <f t="shared" ca="1" si="11"/>
        <v>46065</v>
      </c>
      <c r="G47" s="2">
        <v>46029</v>
      </c>
      <c r="H47" s="2">
        <f t="shared" si="12"/>
        <v>46039</v>
      </c>
      <c r="I47" s="7" t="s">
        <v>38</v>
      </c>
      <c r="J47" s="3"/>
      <c r="K47" s="3"/>
      <c r="L47" s="21" t="s">
        <v>51</v>
      </c>
      <c r="M47" s="19"/>
      <c r="N47" s="20"/>
    </row>
    <row r="48" spans="1:14" x14ac:dyDescent="0.2">
      <c r="A48" s="28">
        <v>7645</v>
      </c>
      <c r="B48" s="1" t="s">
        <v>212</v>
      </c>
      <c r="C48" s="1" t="s">
        <v>91</v>
      </c>
      <c r="D48" s="1" t="s">
        <v>227</v>
      </c>
      <c r="E48" s="1" t="s">
        <v>92</v>
      </c>
      <c r="F48" s="2">
        <f t="shared" ca="1" si="11"/>
        <v>46065</v>
      </c>
      <c r="G48" s="2">
        <v>46029</v>
      </c>
      <c r="H48" s="2">
        <f t="shared" si="12"/>
        <v>46039</v>
      </c>
      <c r="I48" s="7" t="s">
        <v>93</v>
      </c>
      <c r="J48" s="3"/>
      <c r="K48" s="3"/>
      <c r="L48" s="21" t="s">
        <v>51</v>
      </c>
      <c r="M48" s="19"/>
      <c r="N48" s="20"/>
    </row>
    <row r="49" spans="1:14" x14ac:dyDescent="0.2">
      <c r="A49" s="28">
        <v>7645</v>
      </c>
      <c r="B49" s="1" t="s">
        <v>212</v>
      </c>
      <c r="C49" s="1" t="s">
        <v>94</v>
      </c>
      <c r="D49" s="1" t="s">
        <v>227</v>
      </c>
      <c r="E49" s="1" t="s">
        <v>92</v>
      </c>
      <c r="F49" s="2">
        <f t="shared" ca="1" si="11"/>
        <v>46065</v>
      </c>
      <c r="G49" s="2">
        <v>46029</v>
      </c>
      <c r="H49" s="2">
        <f t="shared" si="12"/>
        <v>46039</v>
      </c>
      <c r="I49" s="7" t="s">
        <v>93</v>
      </c>
      <c r="J49" s="3"/>
      <c r="K49" s="3"/>
      <c r="L49" s="21" t="s">
        <v>204</v>
      </c>
      <c r="M49" s="19"/>
      <c r="N49" s="20"/>
    </row>
    <row r="50" spans="1:14" x14ac:dyDescent="0.2">
      <c r="A50" s="28">
        <v>12055</v>
      </c>
      <c r="B50" s="1" t="s">
        <v>213</v>
      </c>
      <c r="C50" s="1">
        <v>12055</v>
      </c>
      <c r="D50" s="1" t="s">
        <v>95</v>
      </c>
      <c r="E50" s="1" t="s">
        <v>96</v>
      </c>
      <c r="F50" s="2">
        <f t="shared" ca="1" si="11"/>
        <v>46065</v>
      </c>
      <c r="G50" s="2">
        <v>46029</v>
      </c>
      <c r="H50" s="2">
        <f t="shared" si="12"/>
        <v>46039</v>
      </c>
      <c r="I50" s="7" t="s">
        <v>93</v>
      </c>
      <c r="J50" s="3"/>
      <c r="K50" s="3"/>
      <c r="L50" s="21" t="s">
        <v>50</v>
      </c>
      <c r="M50" s="19"/>
      <c r="N50" s="20"/>
    </row>
    <row r="51" spans="1:14" x14ac:dyDescent="0.2">
      <c r="A51" s="28">
        <v>18637</v>
      </c>
      <c r="B51" s="1" t="s">
        <v>212</v>
      </c>
      <c r="C51" s="1" t="s">
        <v>97</v>
      </c>
      <c r="D51" s="1" t="s">
        <v>243</v>
      </c>
      <c r="E51" s="1" t="s">
        <v>98</v>
      </c>
      <c r="F51" s="2">
        <f t="shared" ca="1" si="11"/>
        <v>46065</v>
      </c>
      <c r="G51" s="2">
        <v>46029</v>
      </c>
      <c r="H51" s="2">
        <f t="shared" si="12"/>
        <v>46039</v>
      </c>
      <c r="I51" s="7" t="s">
        <v>87</v>
      </c>
      <c r="J51" s="3"/>
      <c r="K51" s="3"/>
      <c r="L51" s="21" t="s">
        <v>50</v>
      </c>
      <c r="M51" s="19"/>
      <c r="N51" s="20"/>
    </row>
    <row r="52" spans="1:14" x14ac:dyDescent="0.2">
      <c r="A52" s="28">
        <v>18311</v>
      </c>
      <c r="B52" s="1" t="s">
        <v>212</v>
      </c>
      <c r="C52" s="1" t="s">
        <v>99</v>
      </c>
      <c r="D52" s="1" t="s">
        <v>8</v>
      </c>
      <c r="E52" s="1" t="s">
        <v>22</v>
      </c>
      <c r="F52" s="2">
        <f t="shared" ref="F52:F100" ca="1" si="13">TODAY()</f>
        <v>46065</v>
      </c>
      <c r="G52" s="2">
        <v>46029</v>
      </c>
      <c r="H52" s="2">
        <f t="shared" ref="H52:H97" si="14">G52 + 10</f>
        <v>46039</v>
      </c>
      <c r="I52" s="7" t="s">
        <v>10</v>
      </c>
      <c r="J52" s="3"/>
      <c r="K52" s="3"/>
      <c r="L52" s="21" t="s">
        <v>51</v>
      </c>
      <c r="M52" s="19"/>
      <c r="N52" s="20"/>
    </row>
    <row r="53" spans="1:14" x14ac:dyDescent="0.2">
      <c r="A53" s="28">
        <v>18645</v>
      </c>
      <c r="B53" s="1" t="s">
        <v>212</v>
      </c>
      <c r="C53" s="1" t="s">
        <v>100</v>
      </c>
      <c r="D53" s="1" t="s">
        <v>222</v>
      </c>
      <c r="E53" s="1" t="s">
        <v>101</v>
      </c>
      <c r="F53" s="2">
        <f t="shared" ca="1" si="13"/>
        <v>46065</v>
      </c>
      <c r="G53" s="2">
        <v>46029</v>
      </c>
      <c r="H53" s="2">
        <f t="shared" si="14"/>
        <v>46039</v>
      </c>
      <c r="I53" s="7" t="s">
        <v>38</v>
      </c>
      <c r="J53" s="3"/>
      <c r="K53" s="3"/>
      <c r="L53" s="21" t="s">
        <v>50</v>
      </c>
      <c r="M53" s="19"/>
      <c r="N53" s="20"/>
    </row>
    <row r="54" spans="1:14" x14ac:dyDescent="0.2">
      <c r="A54" s="28">
        <v>18512</v>
      </c>
      <c r="B54" s="1" t="s">
        <v>212</v>
      </c>
      <c r="C54" s="1" t="s">
        <v>102</v>
      </c>
      <c r="D54" s="1" t="s">
        <v>27</v>
      </c>
      <c r="E54" s="1" t="s">
        <v>228</v>
      </c>
      <c r="F54" s="2">
        <f t="shared" ca="1" si="13"/>
        <v>46065</v>
      </c>
      <c r="G54" s="2">
        <v>46029</v>
      </c>
      <c r="H54" s="2">
        <f t="shared" si="14"/>
        <v>46039</v>
      </c>
      <c r="I54" s="7" t="s">
        <v>38</v>
      </c>
      <c r="J54" s="3"/>
      <c r="K54" s="3"/>
      <c r="L54" s="21" t="s">
        <v>51</v>
      </c>
      <c r="M54" s="19" t="s">
        <v>15</v>
      </c>
      <c r="N54" s="22">
        <v>0.39583333333333331</v>
      </c>
    </row>
    <row r="55" spans="1:14" x14ac:dyDescent="0.2">
      <c r="A55" s="28">
        <v>16059</v>
      </c>
      <c r="B55" s="1" t="s">
        <v>212</v>
      </c>
      <c r="C55" s="1" t="s">
        <v>103</v>
      </c>
      <c r="D55" s="1" t="s">
        <v>27</v>
      </c>
      <c r="E55" s="1" t="s">
        <v>104</v>
      </c>
      <c r="F55" s="2">
        <f t="shared" ca="1" si="13"/>
        <v>46065</v>
      </c>
      <c r="G55" s="2">
        <v>46029</v>
      </c>
      <c r="H55" s="2">
        <f t="shared" si="14"/>
        <v>46039</v>
      </c>
      <c r="I55" s="7" t="s">
        <v>38</v>
      </c>
      <c r="J55" s="3"/>
      <c r="K55" s="3"/>
      <c r="L55" s="21" t="s">
        <v>51</v>
      </c>
      <c r="M55" s="19" t="s">
        <v>15</v>
      </c>
      <c r="N55" s="22">
        <v>0.39583333333333331</v>
      </c>
    </row>
    <row r="56" spans="1:14" x14ac:dyDescent="0.2">
      <c r="A56" s="28">
        <v>18437</v>
      </c>
      <c r="B56" s="1" t="s">
        <v>214</v>
      </c>
      <c r="C56" s="1" t="s">
        <v>105</v>
      </c>
      <c r="D56" s="1" t="s">
        <v>219</v>
      </c>
      <c r="E56" s="1" t="s">
        <v>85</v>
      </c>
      <c r="F56" s="2">
        <f t="shared" ca="1" si="13"/>
        <v>46065</v>
      </c>
      <c r="G56" s="2">
        <v>46029</v>
      </c>
      <c r="H56" s="2">
        <f t="shared" si="14"/>
        <v>46039</v>
      </c>
      <c r="I56" s="7" t="s">
        <v>17</v>
      </c>
      <c r="J56" s="3"/>
      <c r="K56" s="3"/>
      <c r="L56" s="21" t="s">
        <v>51</v>
      </c>
      <c r="M56" s="19" t="s">
        <v>229</v>
      </c>
      <c r="N56" s="22">
        <v>0.34027777777777779</v>
      </c>
    </row>
    <row r="57" spans="1:14" x14ac:dyDescent="0.2">
      <c r="A57" s="28">
        <v>18657</v>
      </c>
      <c r="B57" s="1" t="s">
        <v>212</v>
      </c>
      <c r="C57" s="1" t="s">
        <v>106</v>
      </c>
      <c r="D57" s="1" t="s">
        <v>236</v>
      </c>
      <c r="E57" s="1" t="s">
        <v>107</v>
      </c>
      <c r="F57" s="2">
        <f t="shared" ca="1" si="13"/>
        <v>46065</v>
      </c>
      <c r="G57" s="2">
        <v>46029</v>
      </c>
      <c r="H57" s="2">
        <f t="shared" si="14"/>
        <v>46039</v>
      </c>
      <c r="I57" s="7" t="s">
        <v>17</v>
      </c>
      <c r="J57" s="3"/>
      <c r="K57" s="3"/>
      <c r="L57" s="21" t="s">
        <v>50</v>
      </c>
      <c r="M57" s="19"/>
      <c r="N57" s="22"/>
    </row>
    <row r="58" spans="1:14" x14ac:dyDescent="0.2">
      <c r="A58" s="28">
        <v>18311</v>
      </c>
      <c r="B58" s="1" t="s">
        <v>212</v>
      </c>
      <c r="C58" s="1" t="s">
        <v>108</v>
      </c>
      <c r="D58" s="1" t="s">
        <v>8</v>
      </c>
      <c r="E58" s="1" t="s">
        <v>109</v>
      </c>
      <c r="F58" s="2">
        <f t="shared" ca="1" si="13"/>
        <v>46065</v>
      </c>
      <c r="G58" s="2">
        <v>46029</v>
      </c>
      <c r="H58" s="2">
        <f t="shared" si="14"/>
        <v>46039</v>
      </c>
      <c r="I58" s="7" t="s">
        <v>38</v>
      </c>
      <c r="J58" s="3"/>
      <c r="K58" s="3"/>
      <c r="L58" s="21" t="s">
        <v>51</v>
      </c>
      <c r="M58" s="19" t="s">
        <v>15</v>
      </c>
      <c r="N58" s="22">
        <v>0.46180555555555558</v>
      </c>
    </row>
    <row r="59" spans="1:14" x14ac:dyDescent="0.2">
      <c r="A59" s="28">
        <v>17232</v>
      </c>
      <c r="B59" s="1" t="s">
        <v>212</v>
      </c>
      <c r="C59" s="1" t="s">
        <v>110</v>
      </c>
      <c r="D59" s="1" t="s">
        <v>111</v>
      </c>
      <c r="E59" s="1" t="s">
        <v>112</v>
      </c>
      <c r="F59" s="2">
        <f t="shared" ca="1" si="13"/>
        <v>46065</v>
      </c>
      <c r="G59" s="2">
        <v>46029</v>
      </c>
      <c r="H59" s="2">
        <f t="shared" si="14"/>
        <v>46039</v>
      </c>
      <c r="I59" s="7" t="s">
        <v>38</v>
      </c>
      <c r="J59" s="3"/>
      <c r="K59" s="3"/>
      <c r="L59" s="21" t="s">
        <v>51</v>
      </c>
      <c r="M59" s="19" t="s">
        <v>114</v>
      </c>
      <c r="N59" s="22">
        <v>0.46527777777777779</v>
      </c>
    </row>
    <row r="60" spans="1:14" x14ac:dyDescent="0.2">
      <c r="A60" s="28">
        <v>17618</v>
      </c>
      <c r="B60" s="1" t="s">
        <v>212</v>
      </c>
      <c r="C60" s="1" t="s">
        <v>113</v>
      </c>
      <c r="D60" s="1" t="s">
        <v>111</v>
      </c>
      <c r="E60" s="1" t="s">
        <v>112</v>
      </c>
      <c r="F60" s="2">
        <f t="shared" ca="1" si="13"/>
        <v>46065</v>
      </c>
      <c r="G60" s="2">
        <v>46029</v>
      </c>
      <c r="H60" s="2">
        <f t="shared" si="14"/>
        <v>46039</v>
      </c>
      <c r="I60" s="7" t="s">
        <v>38</v>
      </c>
      <c r="J60" s="3"/>
      <c r="K60" s="3"/>
      <c r="L60" s="21" t="s">
        <v>51</v>
      </c>
      <c r="M60" s="19" t="s">
        <v>114</v>
      </c>
      <c r="N60" s="22">
        <v>0.46527777777777779</v>
      </c>
    </row>
    <row r="61" spans="1:14" x14ac:dyDescent="0.2">
      <c r="A61" s="28">
        <v>18437</v>
      </c>
      <c r="B61" s="1" t="s">
        <v>214</v>
      </c>
      <c r="C61" s="10" t="s">
        <v>115</v>
      </c>
      <c r="D61" s="1" t="s">
        <v>219</v>
      </c>
      <c r="E61" s="1" t="s">
        <v>85</v>
      </c>
      <c r="F61" s="8">
        <f t="shared" ca="1" si="13"/>
        <v>46065</v>
      </c>
      <c r="G61" s="8">
        <v>46034</v>
      </c>
      <c r="H61" s="8">
        <f t="shared" si="14"/>
        <v>46044</v>
      </c>
      <c r="I61" s="9" t="s">
        <v>38</v>
      </c>
      <c r="J61" s="3"/>
      <c r="K61" s="3"/>
      <c r="L61" s="21" t="s">
        <v>51</v>
      </c>
      <c r="M61" s="19"/>
      <c r="N61" s="20"/>
    </row>
    <row r="62" spans="1:14" x14ac:dyDescent="0.2">
      <c r="A62" s="28">
        <v>18662</v>
      </c>
      <c r="B62" s="1" t="s">
        <v>212</v>
      </c>
      <c r="C62" s="1" t="s">
        <v>116</v>
      </c>
      <c r="D62" s="1" t="s">
        <v>117</v>
      </c>
      <c r="E62" s="1" t="s">
        <v>118</v>
      </c>
      <c r="F62" s="8">
        <f t="shared" ca="1" si="13"/>
        <v>46065</v>
      </c>
      <c r="G62" s="8">
        <v>46034</v>
      </c>
      <c r="H62" s="8">
        <f t="shared" si="14"/>
        <v>46044</v>
      </c>
      <c r="I62" s="9" t="s">
        <v>38</v>
      </c>
      <c r="J62" s="3"/>
      <c r="K62" s="3"/>
      <c r="L62" s="21" t="s">
        <v>50</v>
      </c>
      <c r="M62" s="19"/>
      <c r="N62" s="20"/>
    </row>
    <row r="63" spans="1:14" x14ac:dyDescent="0.2">
      <c r="A63" s="28">
        <v>18173</v>
      </c>
      <c r="B63" s="1" t="s">
        <v>212</v>
      </c>
      <c r="C63" s="1" t="s">
        <v>119</v>
      </c>
      <c r="D63" s="1" t="s">
        <v>222</v>
      </c>
      <c r="E63" s="1" t="s">
        <v>120</v>
      </c>
      <c r="F63" s="8">
        <f t="shared" ca="1" si="13"/>
        <v>46065</v>
      </c>
      <c r="G63" s="8">
        <v>46034</v>
      </c>
      <c r="H63" s="8">
        <f t="shared" si="14"/>
        <v>46044</v>
      </c>
      <c r="I63" s="9" t="s">
        <v>38</v>
      </c>
      <c r="J63" s="3"/>
      <c r="K63" s="3"/>
      <c r="L63" s="21" t="s">
        <v>51</v>
      </c>
      <c r="M63" s="19"/>
      <c r="N63" s="20"/>
    </row>
    <row r="64" spans="1:14" x14ac:dyDescent="0.2">
      <c r="A64" s="28">
        <v>18666</v>
      </c>
      <c r="B64" s="1" t="s">
        <v>212</v>
      </c>
      <c r="C64" s="1" t="s">
        <v>121</v>
      </c>
      <c r="D64" s="1" t="s">
        <v>243</v>
      </c>
      <c r="E64" s="1" t="s">
        <v>122</v>
      </c>
      <c r="F64" s="8">
        <f t="shared" ca="1" si="13"/>
        <v>46065</v>
      </c>
      <c r="G64" s="8">
        <v>46034</v>
      </c>
      <c r="H64" s="8">
        <f t="shared" si="14"/>
        <v>46044</v>
      </c>
      <c r="I64" s="9" t="s">
        <v>38</v>
      </c>
      <c r="J64" s="3"/>
      <c r="K64" s="3"/>
      <c r="L64" s="21" t="s">
        <v>50</v>
      </c>
      <c r="M64" s="19" t="s">
        <v>15</v>
      </c>
      <c r="N64" s="22">
        <v>0.60416666666666663</v>
      </c>
    </row>
    <row r="65" spans="1:14" x14ac:dyDescent="0.2">
      <c r="A65" s="28">
        <v>16457</v>
      </c>
      <c r="B65" s="1" t="s">
        <v>212</v>
      </c>
      <c r="C65" s="1" t="s">
        <v>123</v>
      </c>
      <c r="D65" s="1" t="s">
        <v>246</v>
      </c>
      <c r="E65" s="1" t="s">
        <v>124</v>
      </c>
      <c r="F65" s="8">
        <f t="shared" ca="1" si="13"/>
        <v>46065</v>
      </c>
      <c r="G65" s="8">
        <v>46034</v>
      </c>
      <c r="H65" s="8">
        <f t="shared" si="14"/>
        <v>46044</v>
      </c>
      <c r="I65" s="9" t="s">
        <v>38</v>
      </c>
      <c r="J65" s="3"/>
      <c r="K65" s="3"/>
      <c r="L65" s="21" t="s">
        <v>51</v>
      </c>
      <c r="M65" s="19" t="s">
        <v>15</v>
      </c>
      <c r="N65" s="23">
        <v>0.64583333333333304</v>
      </c>
    </row>
    <row r="66" spans="1:14" x14ac:dyDescent="0.2">
      <c r="A66" s="28">
        <v>18667</v>
      </c>
      <c r="B66" s="1" t="s">
        <v>212</v>
      </c>
      <c r="C66" s="1" t="s">
        <v>127</v>
      </c>
      <c r="D66" s="1" t="s">
        <v>243</v>
      </c>
      <c r="E66" s="1" t="s">
        <v>128</v>
      </c>
      <c r="F66" s="8">
        <f t="shared" ca="1" si="13"/>
        <v>46065</v>
      </c>
      <c r="G66" s="8">
        <v>46034</v>
      </c>
      <c r="H66" s="8">
        <f t="shared" si="14"/>
        <v>46044</v>
      </c>
      <c r="I66" s="9" t="s">
        <v>38</v>
      </c>
      <c r="J66" s="3"/>
      <c r="K66" s="3"/>
      <c r="L66" s="21" t="s">
        <v>50</v>
      </c>
      <c r="M66" s="19" t="s">
        <v>34</v>
      </c>
      <c r="N66" s="23">
        <v>0.6875</v>
      </c>
    </row>
    <row r="67" spans="1:14" x14ac:dyDescent="0.2">
      <c r="A67" s="28">
        <v>18659</v>
      </c>
      <c r="B67" s="1" t="s">
        <v>212</v>
      </c>
      <c r="C67" s="1" t="s">
        <v>125</v>
      </c>
      <c r="D67" s="1" t="s">
        <v>8</v>
      </c>
      <c r="E67" s="1" t="s">
        <v>126</v>
      </c>
      <c r="F67" s="8">
        <f t="shared" ca="1" si="13"/>
        <v>46065</v>
      </c>
      <c r="G67" s="8">
        <v>46034</v>
      </c>
      <c r="H67" s="8">
        <f t="shared" si="14"/>
        <v>46044</v>
      </c>
      <c r="I67" s="9" t="s">
        <v>38</v>
      </c>
      <c r="J67" s="3"/>
      <c r="K67" s="3"/>
      <c r="L67" s="21" t="s">
        <v>50</v>
      </c>
      <c r="M67" s="19" t="s">
        <v>31</v>
      </c>
      <c r="N67" s="23"/>
    </row>
    <row r="68" spans="1:14" x14ac:dyDescent="0.2">
      <c r="A68" s="28">
        <v>18670</v>
      </c>
      <c r="B68" s="1" t="s">
        <v>212</v>
      </c>
      <c r="C68" s="1" t="s">
        <v>129</v>
      </c>
      <c r="D68" s="1" t="s">
        <v>222</v>
      </c>
      <c r="E68" s="1" t="s">
        <v>130</v>
      </c>
      <c r="F68" s="8">
        <f t="shared" ca="1" si="13"/>
        <v>46065</v>
      </c>
      <c r="G68" s="8">
        <v>46034</v>
      </c>
      <c r="H68" s="8">
        <f t="shared" si="14"/>
        <v>46044</v>
      </c>
      <c r="I68" s="9" t="s">
        <v>38</v>
      </c>
      <c r="J68" s="3"/>
      <c r="K68" s="3"/>
      <c r="L68" s="21" t="s">
        <v>50</v>
      </c>
      <c r="M68" s="19" t="s">
        <v>239</v>
      </c>
      <c r="N68" s="23"/>
    </row>
    <row r="69" spans="1:14" x14ac:dyDescent="0.2">
      <c r="A69" s="28">
        <v>18671</v>
      </c>
      <c r="B69" s="1" t="s">
        <v>213</v>
      </c>
      <c r="C69" s="1">
        <v>12086</v>
      </c>
      <c r="D69" s="1" t="s">
        <v>222</v>
      </c>
      <c r="E69" s="1" t="s">
        <v>120</v>
      </c>
      <c r="F69" s="8">
        <f t="shared" ca="1" si="13"/>
        <v>46065</v>
      </c>
      <c r="G69" s="8">
        <v>46034</v>
      </c>
      <c r="H69" s="8">
        <f t="shared" si="14"/>
        <v>46044</v>
      </c>
      <c r="I69" s="9" t="s">
        <v>38</v>
      </c>
      <c r="J69" s="3"/>
      <c r="K69" s="3"/>
      <c r="L69" s="21" t="s">
        <v>50</v>
      </c>
      <c r="M69" s="19"/>
      <c r="N69" s="23"/>
    </row>
    <row r="70" spans="1:14" x14ac:dyDescent="0.2">
      <c r="A70" s="28">
        <v>18341</v>
      </c>
      <c r="B70" s="1" t="s">
        <v>212</v>
      </c>
      <c r="C70" s="1" t="s">
        <v>131</v>
      </c>
      <c r="D70" s="1" t="s">
        <v>222</v>
      </c>
      <c r="E70" s="1" t="s">
        <v>120</v>
      </c>
      <c r="F70" s="8">
        <f t="shared" ca="1" si="13"/>
        <v>46065</v>
      </c>
      <c r="G70" s="8">
        <v>46034</v>
      </c>
      <c r="H70" s="8">
        <f t="shared" si="14"/>
        <v>46044</v>
      </c>
      <c r="I70" s="9" t="s">
        <v>38</v>
      </c>
      <c r="J70" s="3"/>
      <c r="K70" s="3"/>
      <c r="L70" s="21" t="s">
        <v>51</v>
      </c>
      <c r="M70" s="19"/>
      <c r="N70" s="23"/>
    </row>
    <row r="71" spans="1:14" x14ac:dyDescent="0.2">
      <c r="A71" s="28">
        <v>18672</v>
      </c>
      <c r="B71" s="1" t="s">
        <v>212</v>
      </c>
      <c r="C71" s="1" t="s">
        <v>132</v>
      </c>
      <c r="D71" s="1" t="s">
        <v>82</v>
      </c>
      <c r="E71" s="1" t="s">
        <v>133</v>
      </c>
      <c r="F71" s="8">
        <f t="shared" ca="1" si="13"/>
        <v>46065</v>
      </c>
      <c r="G71" s="8">
        <v>46034</v>
      </c>
      <c r="H71" s="8">
        <f t="shared" si="14"/>
        <v>46044</v>
      </c>
      <c r="I71" s="11" t="s">
        <v>93</v>
      </c>
      <c r="J71" s="3"/>
      <c r="K71" s="3"/>
      <c r="L71" s="21" t="s">
        <v>50</v>
      </c>
      <c r="M71" s="19"/>
      <c r="N71" s="23"/>
    </row>
    <row r="72" spans="1:14" x14ac:dyDescent="0.2">
      <c r="A72" s="28">
        <v>16110</v>
      </c>
      <c r="B72" s="1" t="s">
        <v>212</v>
      </c>
      <c r="C72" s="1" t="s">
        <v>134</v>
      </c>
      <c r="D72" s="1" t="s">
        <v>8</v>
      </c>
      <c r="E72" s="1" t="s">
        <v>135</v>
      </c>
      <c r="F72" s="8">
        <f t="shared" ca="1" si="13"/>
        <v>46065</v>
      </c>
      <c r="G72" s="8">
        <v>46034</v>
      </c>
      <c r="H72" s="8">
        <f t="shared" si="14"/>
        <v>46044</v>
      </c>
      <c r="I72" s="7" t="s">
        <v>38</v>
      </c>
      <c r="J72" s="3"/>
      <c r="K72" s="3"/>
      <c r="L72" s="21" t="s">
        <v>51</v>
      </c>
      <c r="M72" s="19" t="s">
        <v>136</v>
      </c>
      <c r="N72" s="23"/>
    </row>
    <row r="73" spans="1:14" x14ac:dyDescent="0.2">
      <c r="A73" s="28" t="s">
        <v>247</v>
      </c>
      <c r="B73" s="1" t="s">
        <v>247</v>
      </c>
      <c r="C73" s="1" t="s">
        <v>205</v>
      </c>
      <c r="D73" s="1" t="s">
        <v>8</v>
      </c>
      <c r="E73" s="1" t="s">
        <v>135</v>
      </c>
      <c r="F73" s="8">
        <f t="shared" ca="1" si="13"/>
        <v>46065</v>
      </c>
      <c r="G73" s="8">
        <v>46034</v>
      </c>
      <c r="H73" s="8">
        <f t="shared" si="14"/>
        <v>46044</v>
      </c>
      <c r="I73" s="7" t="s">
        <v>38</v>
      </c>
      <c r="J73" s="3"/>
      <c r="K73" s="3"/>
      <c r="L73" s="21" t="s">
        <v>204</v>
      </c>
      <c r="M73" s="19" t="s">
        <v>136</v>
      </c>
      <c r="N73" s="23"/>
    </row>
    <row r="74" spans="1:14" x14ac:dyDescent="0.2">
      <c r="A74" s="28">
        <v>18675</v>
      </c>
      <c r="B74" s="1" t="s">
        <v>213</v>
      </c>
      <c r="C74" s="1">
        <v>12087</v>
      </c>
      <c r="D74" s="1" t="s">
        <v>137</v>
      </c>
      <c r="E74" s="1" t="s">
        <v>138</v>
      </c>
      <c r="F74" s="8">
        <f t="shared" ca="1" si="13"/>
        <v>46065</v>
      </c>
      <c r="G74" s="8">
        <v>46034</v>
      </c>
      <c r="H74" s="8">
        <f t="shared" si="14"/>
        <v>46044</v>
      </c>
      <c r="I74" s="7" t="s">
        <v>38</v>
      </c>
      <c r="J74" s="3"/>
      <c r="K74" s="3"/>
      <c r="L74" s="21" t="s">
        <v>50</v>
      </c>
      <c r="M74" s="19" t="s">
        <v>139</v>
      </c>
      <c r="N74" s="23"/>
    </row>
    <row r="75" spans="1:14" x14ac:dyDescent="0.2">
      <c r="A75" s="28">
        <v>15758</v>
      </c>
      <c r="B75" s="1" t="s">
        <v>212</v>
      </c>
      <c r="C75" s="1" t="s">
        <v>140</v>
      </c>
      <c r="D75" s="1" t="s">
        <v>244</v>
      </c>
      <c r="E75" s="1" t="s">
        <v>141</v>
      </c>
      <c r="F75" s="8">
        <f t="shared" ca="1" si="13"/>
        <v>46065</v>
      </c>
      <c r="G75" s="8">
        <v>46034</v>
      </c>
      <c r="H75" s="8">
        <f t="shared" si="14"/>
        <v>46044</v>
      </c>
      <c r="I75" s="7" t="s">
        <v>38</v>
      </c>
      <c r="J75" s="3"/>
      <c r="K75" s="3"/>
      <c r="L75" s="21" t="s">
        <v>51</v>
      </c>
      <c r="M75" s="19" t="s">
        <v>139</v>
      </c>
      <c r="N75" s="23"/>
    </row>
    <row r="76" spans="1:14" x14ac:dyDescent="0.2">
      <c r="A76" s="28">
        <v>18645</v>
      </c>
      <c r="B76" s="1" t="s">
        <v>212</v>
      </c>
      <c r="C76" s="1" t="s">
        <v>142</v>
      </c>
      <c r="D76" s="1" t="s">
        <v>143</v>
      </c>
      <c r="E76" s="1" t="s">
        <v>144</v>
      </c>
      <c r="F76" s="8">
        <f t="shared" ca="1" si="13"/>
        <v>46065</v>
      </c>
      <c r="G76" s="8">
        <v>46034</v>
      </c>
      <c r="H76" s="8">
        <f t="shared" si="14"/>
        <v>46044</v>
      </c>
      <c r="I76" s="7" t="s">
        <v>38</v>
      </c>
      <c r="J76" s="3"/>
      <c r="K76" s="3"/>
      <c r="L76" s="21" t="s">
        <v>50</v>
      </c>
      <c r="M76" s="19" t="s">
        <v>139</v>
      </c>
      <c r="N76" s="23"/>
    </row>
    <row r="77" spans="1:14" x14ac:dyDescent="0.2">
      <c r="A77" s="28">
        <v>16204</v>
      </c>
      <c r="B77" s="1" t="s">
        <v>212</v>
      </c>
      <c r="C77" s="1" t="s">
        <v>145</v>
      </c>
      <c r="D77" s="1" t="s">
        <v>27</v>
      </c>
      <c r="E77" s="1" t="s">
        <v>146</v>
      </c>
      <c r="F77" s="8">
        <f t="shared" ca="1" si="13"/>
        <v>46065</v>
      </c>
      <c r="G77" s="8">
        <v>46034</v>
      </c>
      <c r="H77" s="8">
        <f t="shared" si="14"/>
        <v>46044</v>
      </c>
      <c r="I77" s="7" t="s">
        <v>38</v>
      </c>
      <c r="J77" s="3"/>
      <c r="K77" s="3"/>
      <c r="L77" s="21" t="s">
        <v>51</v>
      </c>
      <c r="M77" s="19"/>
      <c r="N77" s="23"/>
    </row>
    <row r="78" spans="1:14" x14ac:dyDescent="0.2">
      <c r="A78" s="28">
        <v>18118</v>
      </c>
      <c r="B78" s="1" t="s">
        <v>212</v>
      </c>
      <c r="C78" s="1" t="s">
        <v>147</v>
      </c>
      <c r="D78" s="1" t="s">
        <v>8</v>
      </c>
      <c r="E78" s="1" t="s">
        <v>248</v>
      </c>
      <c r="F78" s="8">
        <f t="shared" ca="1" si="13"/>
        <v>46065</v>
      </c>
      <c r="G78" s="8">
        <v>46034</v>
      </c>
      <c r="H78" s="8">
        <f t="shared" si="14"/>
        <v>46044</v>
      </c>
      <c r="I78" s="7" t="s">
        <v>87</v>
      </c>
      <c r="J78" s="25"/>
      <c r="K78" s="25"/>
      <c r="L78" s="19" t="s">
        <v>50</v>
      </c>
      <c r="M78" s="19"/>
      <c r="N78" s="23"/>
    </row>
    <row r="79" spans="1:14" x14ac:dyDescent="0.2">
      <c r="A79" s="28">
        <v>18682</v>
      </c>
      <c r="B79" s="1" t="s">
        <v>213</v>
      </c>
      <c r="C79" s="1">
        <v>12091</v>
      </c>
      <c r="D79" s="1" t="s">
        <v>149</v>
      </c>
      <c r="E79" s="1" t="s">
        <v>150</v>
      </c>
      <c r="F79" s="8">
        <f t="shared" ca="1" si="13"/>
        <v>46065</v>
      </c>
      <c r="G79" s="8">
        <v>46034</v>
      </c>
      <c r="H79" s="8">
        <f t="shared" si="14"/>
        <v>46044</v>
      </c>
      <c r="I79" s="7" t="s">
        <v>17</v>
      </c>
      <c r="J79" s="25"/>
      <c r="K79" s="25"/>
      <c r="L79" s="19" t="s">
        <v>51</v>
      </c>
      <c r="M79" s="19"/>
      <c r="N79" s="23"/>
    </row>
    <row r="80" spans="1:14" x14ac:dyDescent="0.2">
      <c r="A80" s="28">
        <v>18683</v>
      </c>
      <c r="B80" s="1" t="s">
        <v>213</v>
      </c>
      <c r="C80" s="1">
        <v>12092</v>
      </c>
      <c r="D80" s="1" t="s">
        <v>27</v>
      </c>
      <c r="E80" s="1" t="s">
        <v>151</v>
      </c>
      <c r="F80" s="8">
        <f t="shared" ca="1" si="13"/>
        <v>46065</v>
      </c>
      <c r="G80" s="8">
        <v>46034</v>
      </c>
      <c r="H80" s="8">
        <f t="shared" si="14"/>
        <v>46044</v>
      </c>
      <c r="I80" s="7" t="s">
        <v>38</v>
      </c>
      <c r="J80" s="25" t="str">
        <f ca="1">IF(TODAY()&gt;H80, "ACTION NEEDED", "NO ACTION NEEDED")</f>
        <v>ACTION NEEDED</v>
      </c>
      <c r="K80" s="25" t="str">
        <f>IF(F186&gt;=E186,"On Time","Order Still Needed?")</f>
        <v>On Time</v>
      </c>
      <c r="L80" s="19"/>
      <c r="M80" s="19"/>
      <c r="N80" s="23"/>
    </row>
    <row r="81" spans="1:14" x14ac:dyDescent="0.2">
      <c r="A81" s="28">
        <v>17440</v>
      </c>
      <c r="B81" s="1" t="s">
        <v>212</v>
      </c>
      <c r="C81" s="1" t="s">
        <v>152</v>
      </c>
      <c r="D81" s="1" t="s">
        <v>8</v>
      </c>
      <c r="E81" s="1" t="s">
        <v>153</v>
      </c>
      <c r="F81" s="8">
        <f t="shared" ca="1" si="13"/>
        <v>46065</v>
      </c>
      <c r="G81" s="8">
        <v>46034</v>
      </c>
      <c r="H81" s="8">
        <f t="shared" si="14"/>
        <v>46044</v>
      </c>
      <c r="I81" s="7" t="s">
        <v>87</v>
      </c>
      <c r="J81" s="3"/>
      <c r="K81" s="3"/>
      <c r="L81" s="19" t="s">
        <v>51</v>
      </c>
      <c r="M81" s="19"/>
      <c r="N81" s="23"/>
    </row>
    <row r="82" spans="1:14" x14ac:dyDescent="0.2">
      <c r="A82" s="28">
        <v>18692</v>
      </c>
      <c r="B82" s="1" t="s">
        <v>213</v>
      </c>
      <c r="C82" s="1">
        <v>12103</v>
      </c>
      <c r="D82" s="1" t="s">
        <v>154</v>
      </c>
      <c r="E82" s="1" t="s">
        <v>155</v>
      </c>
      <c r="F82" s="8">
        <f t="shared" ca="1" si="13"/>
        <v>46065</v>
      </c>
      <c r="G82" s="8">
        <v>46034</v>
      </c>
      <c r="H82" s="8">
        <f t="shared" si="14"/>
        <v>46044</v>
      </c>
      <c r="I82" s="7" t="s">
        <v>93</v>
      </c>
      <c r="J82" s="3"/>
      <c r="K82" s="3"/>
      <c r="L82" s="19" t="s">
        <v>50</v>
      </c>
      <c r="M82" s="19"/>
      <c r="N82" s="23"/>
    </row>
    <row r="83" spans="1:14" x14ac:dyDescent="0.2">
      <c r="A83" s="28">
        <v>18693</v>
      </c>
      <c r="B83" s="1" t="s">
        <v>213</v>
      </c>
      <c r="C83" s="1">
        <v>12102</v>
      </c>
      <c r="D83" s="1" t="s">
        <v>154</v>
      </c>
      <c r="E83" s="1" t="s">
        <v>156</v>
      </c>
      <c r="F83" s="8">
        <f t="shared" ca="1" si="13"/>
        <v>46065</v>
      </c>
      <c r="G83" s="8">
        <v>46034</v>
      </c>
      <c r="H83" s="8">
        <f t="shared" si="14"/>
        <v>46044</v>
      </c>
      <c r="I83" s="7" t="s">
        <v>93</v>
      </c>
      <c r="J83" s="3"/>
      <c r="K83" s="3"/>
      <c r="L83" s="19" t="s">
        <v>50</v>
      </c>
      <c r="M83" s="19"/>
      <c r="N83" s="23"/>
    </row>
    <row r="84" spans="1:14" x14ac:dyDescent="0.2">
      <c r="A84" s="28">
        <v>17000</v>
      </c>
      <c r="B84" s="1" t="s">
        <v>212</v>
      </c>
      <c r="C84" s="1" t="s">
        <v>157</v>
      </c>
      <c r="D84" s="1" t="s">
        <v>8</v>
      </c>
      <c r="E84" s="1" t="s">
        <v>230</v>
      </c>
      <c r="F84" s="8">
        <f t="shared" ca="1" si="13"/>
        <v>46065</v>
      </c>
      <c r="G84" s="8">
        <v>46034</v>
      </c>
      <c r="H84" s="8">
        <f t="shared" si="14"/>
        <v>46044</v>
      </c>
      <c r="I84" s="7" t="s">
        <v>93</v>
      </c>
      <c r="J84" s="3"/>
      <c r="K84" s="3"/>
      <c r="L84" s="19" t="s">
        <v>51</v>
      </c>
      <c r="M84" s="19"/>
      <c r="N84" s="23"/>
    </row>
    <row r="85" spans="1:14" x14ac:dyDescent="0.2">
      <c r="A85" s="28">
        <v>16204</v>
      </c>
      <c r="B85" s="1" t="s">
        <v>212</v>
      </c>
      <c r="C85" s="1" t="s">
        <v>164</v>
      </c>
      <c r="D85" s="1" t="s">
        <v>27</v>
      </c>
      <c r="E85" s="1" t="s">
        <v>146</v>
      </c>
      <c r="F85" s="8">
        <f t="shared" ca="1" si="13"/>
        <v>46065</v>
      </c>
      <c r="G85" s="8">
        <v>46034</v>
      </c>
      <c r="H85" s="8">
        <f t="shared" si="14"/>
        <v>46044</v>
      </c>
      <c r="I85" s="7" t="s">
        <v>38</v>
      </c>
      <c r="J85" s="3"/>
      <c r="K85" s="3"/>
      <c r="L85" s="19" t="s">
        <v>51</v>
      </c>
      <c r="M85" s="19"/>
      <c r="N85" s="23"/>
    </row>
    <row r="86" spans="1:14" x14ac:dyDescent="0.2">
      <c r="A86" s="28">
        <v>11625</v>
      </c>
      <c r="B86" s="1" t="s">
        <v>212</v>
      </c>
      <c r="C86" s="1" t="s">
        <v>158</v>
      </c>
      <c r="D86" s="1" t="s">
        <v>13</v>
      </c>
      <c r="E86" s="1" t="s">
        <v>159</v>
      </c>
      <c r="F86" s="8">
        <f t="shared" ca="1" si="13"/>
        <v>46065</v>
      </c>
      <c r="G86" s="8">
        <v>46034</v>
      </c>
      <c r="H86" s="8">
        <f t="shared" si="14"/>
        <v>46044</v>
      </c>
      <c r="I86" s="7" t="s">
        <v>93</v>
      </c>
      <c r="J86" s="3"/>
      <c r="K86" s="3"/>
      <c r="L86" s="19" t="s">
        <v>51</v>
      </c>
      <c r="M86" s="19"/>
      <c r="N86" s="23"/>
    </row>
    <row r="87" spans="1:14" x14ac:dyDescent="0.2">
      <c r="A87" s="28">
        <v>17943</v>
      </c>
      <c r="B87" s="1" t="s">
        <v>213</v>
      </c>
      <c r="C87" s="1">
        <v>11625</v>
      </c>
      <c r="D87" s="1" t="s">
        <v>13</v>
      </c>
      <c r="E87" s="1" t="s">
        <v>159</v>
      </c>
      <c r="F87" s="8">
        <f t="shared" ca="1" si="13"/>
        <v>46065</v>
      </c>
      <c r="G87" s="8">
        <v>46034</v>
      </c>
      <c r="H87" s="8">
        <f t="shared" si="14"/>
        <v>46044</v>
      </c>
      <c r="I87" s="7" t="s">
        <v>93</v>
      </c>
      <c r="J87" s="3"/>
      <c r="K87" s="3"/>
      <c r="L87" s="19" t="s">
        <v>51</v>
      </c>
      <c r="M87" s="19"/>
      <c r="N87" s="23"/>
    </row>
    <row r="88" spans="1:14" x14ac:dyDescent="0.2">
      <c r="A88" s="28" t="s">
        <v>247</v>
      </c>
      <c r="B88" s="1" t="s">
        <v>247</v>
      </c>
      <c r="C88" s="1" t="s">
        <v>163</v>
      </c>
      <c r="D88" s="1" t="s">
        <v>13</v>
      </c>
      <c r="E88" s="1" t="s">
        <v>159</v>
      </c>
      <c r="F88" s="8">
        <f t="shared" ca="1" si="13"/>
        <v>46065</v>
      </c>
      <c r="G88" s="8">
        <v>46034</v>
      </c>
      <c r="H88" s="8">
        <f t="shared" si="14"/>
        <v>46044</v>
      </c>
      <c r="I88" s="7" t="s">
        <v>93</v>
      </c>
      <c r="J88" s="3"/>
      <c r="K88" s="3"/>
      <c r="L88" s="19" t="s">
        <v>204</v>
      </c>
      <c r="M88" s="19"/>
      <c r="N88" s="23"/>
    </row>
    <row r="89" spans="1:14" x14ac:dyDescent="0.2">
      <c r="A89" s="28" t="s">
        <v>247</v>
      </c>
      <c r="B89" s="1" t="s">
        <v>247</v>
      </c>
      <c r="C89" s="1" t="s">
        <v>171</v>
      </c>
      <c r="D89" s="1" t="s">
        <v>13</v>
      </c>
      <c r="E89" s="1" t="s">
        <v>159</v>
      </c>
      <c r="F89" s="8">
        <f t="shared" ca="1" si="13"/>
        <v>46065</v>
      </c>
      <c r="G89" s="8">
        <v>46034</v>
      </c>
      <c r="H89" s="8">
        <f t="shared" si="14"/>
        <v>46044</v>
      </c>
      <c r="I89" s="7" t="s">
        <v>93</v>
      </c>
      <c r="J89" s="3"/>
      <c r="K89" s="3"/>
      <c r="L89" s="19" t="s">
        <v>204</v>
      </c>
      <c r="M89" s="19"/>
      <c r="N89" s="23"/>
    </row>
    <row r="90" spans="1:14" x14ac:dyDescent="0.2">
      <c r="A90" s="28">
        <v>18705</v>
      </c>
      <c r="B90" s="1" t="s">
        <v>213</v>
      </c>
      <c r="C90" s="1">
        <v>12112</v>
      </c>
      <c r="D90" s="1" t="s">
        <v>231</v>
      </c>
      <c r="E90" s="1" t="s">
        <v>161</v>
      </c>
      <c r="F90" s="8">
        <f t="shared" ca="1" si="13"/>
        <v>46065</v>
      </c>
      <c r="G90" s="8">
        <v>46034</v>
      </c>
      <c r="H90" s="8">
        <f t="shared" si="14"/>
        <v>46044</v>
      </c>
      <c r="I90" s="7" t="s">
        <v>87</v>
      </c>
      <c r="J90" s="3"/>
      <c r="K90" s="3"/>
      <c r="L90" s="19" t="s">
        <v>50</v>
      </c>
      <c r="M90" s="19"/>
      <c r="N90" s="23"/>
    </row>
    <row r="91" spans="1:14" x14ac:dyDescent="0.2">
      <c r="A91" s="28">
        <v>17520</v>
      </c>
      <c r="B91" s="1" t="s">
        <v>214</v>
      </c>
      <c r="C91" s="1" t="s">
        <v>162</v>
      </c>
      <c r="D91" s="1" t="s">
        <v>231</v>
      </c>
      <c r="E91" s="1" t="s">
        <v>161</v>
      </c>
      <c r="F91" s="8">
        <f t="shared" ca="1" si="13"/>
        <v>46065</v>
      </c>
      <c r="G91" s="8">
        <v>46034</v>
      </c>
      <c r="H91" s="8">
        <f t="shared" si="14"/>
        <v>46044</v>
      </c>
      <c r="I91" s="7" t="s">
        <v>87</v>
      </c>
      <c r="J91" s="3"/>
      <c r="K91" s="3"/>
      <c r="L91" s="19" t="s">
        <v>51</v>
      </c>
      <c r="M91" s="19"/>
      <c r="N91" s="23"/>
    </row>
    <row r="92" spans="1:14" x14ac:dyDescent="0.2">
      <c r="A92" s="28">
        <v>17784</v>
      </c>
      <c r="B92" s="1" t="s">
        <v>212</v>
      </c>
      <c r="C92" s="1" t="s">
        <v>165</v>
      </c>
      <c r="D92" s="1" t="s">
        <v>243</v>
      </c>
      <c r="E92" s="1" t="s">
        <v>98</v>
      </c>
      <c r="F92" s="8">
        <f t="shared" ca="1" si="13"/>
        <v>46065</v>
      </c>
      <c r="G92" s="8">
        <v>46034</v>
      </c>
      <c r="H92" s="8">
        <f t="shared" si="14"/>
        <v>46044</v>
      </c>
      <c r="I92" s="7" t="s">
        <v>87</v>
      </c>
      <c r="J92" s="3"/>
      <c r="K92" s="3"/>
      <c r="L92" s="19" t="s">
        <v>51</v>
      </c>
      <c r="M92" s="19"/>
      <c r="N92" s="23"/>
    </row>
    <row r="93" spans="1:14" x14ac:dyDescent="0.2">
      <c r="A93" s="28">
        <v>18707</v>
      </c>
      <c r="B93" s="1" t="s">
        <v>212</v>
      </c>
      <c r="C93" s="1" t="s">
        <v>166</v>
      </c>
      <c r="D93" s="1" t="s">
        <v>243</v>
      </c>
      <c r="E93" s="1" t="s">
        <v>167</v>
      </c>
      <c r="F93" s="8">
        <f t="shared" ca="1" si="13"/>
        <v>46065</v>
      </c>
      <c r="G93" s="8">
        <v>46034</v>
      </c>
      <c r="H93" s="8">
        <f t="shared" si="14"/>
        <v>46044</v>
      </c>
      <c r="I93" s="7" t="s">
        <v>87</v>
      </c>
      <c r="J93" s="3"/>
      <c r="K93" s="3"/>
      <c r="L93" s="19" t="s">
        <v>50</v>
      </c>
      <c r="M93" s="19"/>
      <c r="N93" s="23"/>
    </row>
    <row r="94" spans="1:14" x14ac:dyDescent="0.2">
      <c r="A94" s="28">
        <v>18546</v>
      </c>
      <c r="B94" s="1" t="s">
        <v>212</v>
      </c>
      <c r="C94" s="1" t="s">
        <v>168</v>
      </c>
      <c r="D94" s="1" t="s">
        <v>8</v>
      </c>
      <c r="E94" s="1" t="s">
        <v>109</v>
      </c>
      <c r="F94" s="8">
        <f t="shared" ca="1" si="13"/>
        <v>46065</v>
      </c>
      <c r="G94" s="8">
        <v>46034</v>
      </c>
      <c r="H94" s="8">
        <f t="shared" si="14"/>
        <v>46044</v>
      </c>
      <c r="I94" s="7" t="s">
        <v>87</v>
      </c>
      <c r="J94" s="3"/>
      <c r="K94" s="3"/>
      <c r="L94" s="19" t="s">
        <v>51</v>
      </c>
      <c r="M94" s="19"/>
      <c r="N94" s="23"/>
    </row>
    <row r="95" spans="1:14" x14ac:dyDescent="0.2">
      <c r="A95" s="28">
        <v>18696</v>
      </c>
      <c r="B95" s="1" t="s">
        <v>213</v>
      </c>
      <c r="C95" s="1">
        <v>12114</v>
      </c>
      <c r="D95" s="1" t="s">
        <v>8</v>
      </c>
      <c r="E95" s="1" t="s">
        <v>109</v>
      </c>
      <c r="F95" s="8">
        <f t="shared" ca="1" si="13"/>
        <v>46065</v>
      </c>
      <c r="G95" s="8">
        <v>46034</v>
      </c>
      <c r="H95" s="8">
        <f t="shared" si="14"/>
        <v>46044</v>
      </c>
      <c r="I95" s="7" t="s">
        <v>87</v>
      </c>
      <c r="J95" s="3"/>
      <c r="K95" s="3"/>
      <c r="L95" s="19" t="s">
        <v>50</v>
      </c>
      <c r="M95" s="19"/>
      <c r="N95" s="23"/>
    </row>
    <row r="96" spans="1:14" x14ac:dyDescent="0.2">
      <c r="A96" s="28">
        <v>18709</v>
      </c>
      <c r="B96" s="1" t="s">
        <v>212</v>
      </c>
      <c r="C96" s="1" t="s">
        <v>169</v>
      </c>
      <c r="D96" s="1" t="s">
        <v>237</v>
      </c>
      <c r="E96" s="1" t="s">
        <v>170</v>
      </c>
      <c r="F96" s="8">
        <f t="shared" ca="1" si="13"/>
        <v>46065</v>
      </c>
      <c r="G96" s="8">
        <v>46034</v>
      </c>
      <c r="H96" s="8">
        <f t="shared" si="14"/>
        <v>46044</v>
      </c>
      <c r="I96" s="7" t="s">
        <v>87</v>
      </c>
      <c r="J96" s="3"/>
      <c r="K96" s="3"/>
      <c r="L96" s="19" t="s">
        <v>50</v>
      </c>
      <c r="M96" s="19"/>
      <c r="N96" s="23"/>
    </row>
    <row r="97" spans="1:14" x14ac:dyDescent="0.2">
      <c r="A97" s="28">
        <v>16059</v>
      </c>
      <c r="B97" s="1" t="s">
        <v>212</v>
      </c>
      <c r="C97" s="1" t="s">
        <v>172</v>
      </c>
      <c r="D97" s="1" t="s">
        <v>27</v>
      </c>
      <c r="E97" s="1" t="s">
        <v>104</v>
      </c>
      <c r="F97" s="8">
        <f t="shared" ca="1" si="13"/>
        <v>46065</v>
      </c>
      <c r="G97" s="8">
        <v>46034</v>
      </c>
      <c r="H97" s="8">
        <f t="shared" si="14"/>
        <v>46044</v>
      </c>
      <c r="I97" s="7" t="s">
        <v>87</v>
      </c>
      <c r="J97" s="3"/>
      <c r="K97" s="3"/>
      <c r="L97" s="19" t="s">
        <v>51</v>
      </c>
      <c r="M97" s="19"/>
      <c r="N97" s="23"/>
    </row>
    <row r="98" spans="1:14" x14ac:dyDescent="0.2">
      <c r="A98" s="28">
        <v>18725</v>
      </c>
      <c r="B98" s="1" t="s">
        <v>212</v>
      </c>
      <c r="C98" s="1" t="s">
        <v>173</v>
      </c>
      <c r="D98" s="1" t="s">
        <v>8</v>
      </c>
      <c r="E98" s="1" t="s">
        <v>174</v>
      </c>
      <c r="F98" s="8">
        <f t="shared" ca="1" si="13"/>
        <v>46065</v>
      </c>
      <c r="G98" s="8">
        <v>46041</v>
      </c>
      <c r="H98" s="8">
        <f t="shared" ref="H98" si="15">G98 + 10</f>
        <v>46051</v>
      </c>
      <c r="I98" s="7" t="s">
        <v>87</v>
      </c>
      <c r="J98" s="3"/>
      <c r="K98" s="3"/>
      <c r="L98" s="19" t="s">
        <v>50</v>
      </c>
      <c r="M98" s="19"/>
      <c r="N98" s="23"/>
    </row>
    <row r="99" spans="1:14" x14ac:dyDescent="0.2">
      <c r="A99" s="28">
        <v>18677</v>
      </c>
      <c r="B99" s="1" t="s">
        <v>212</v>
      </c>
      <c r="C99" s="1" t="s">
        <v>175</v>
      </c>
      <c r="D99" s="1" t="s">
        <v>176</v>
      </c>
      <c r="E99" s="1" t="s">
        <v>232</v>
      </c>
      <c r="F99" s="8">
        <f t="shared" ca="1" si="13"/>
        <v>46065</v>
      </c>
      <c r="G99" s="8">
        <v>46041</v>
      </c>
      <c r="H99" s="8">
        <f t="shared" ref="H99" si="16">G99 + 10</f>
        <v>46051</v>
      </c>
      <c r="I99" s="7" t="s">
        <v>14</v>
      </c>
      <c r="J99" s="3"/>
      <c r="K99" s="3"/>
      <c r="L99" s="19" t="s">
        <v>50</v>
      </c>
      <c r="M99" s="19"/>
      <c r="N99" s="23"/>
    </row>
    <row r="100" spans="1:14" x14ac:dyDescent="0.2">
      <c r="A100" s="28">
        <v>15731</v>
      </c>
      <c r="B100" s="1" t="s">
        <v>213</v>
      </c>
      <c r="C100" s="1">
        <v>12139</v>
      </c>
      <c r="D100" s="1" t="s">
        <v>177</v>
      </c>
      <c r="E100" s="1" t="s">
        <v>178</v>
      </c>
      <c r="F100" s="8">
        <f t="shared" ca="1" si="13"/>
        <v>46065</v>
      </c>
      <c r="G100" s="8">
        <v>46041</v>
      </c>
      <c r="H100" s="8">
        <f t="shared" ref="H100" si="17">G100 + 10</f>
        <v>46051</v>
      </c>
      <c r="I100" s="7" t="s">
        <v>93</v>
      </c>
      <c r="J100" s="3"/>
      <c r="K100" s="3"/>
      <c r="L100" s="19" t="s">
        <v>50</v>
      </c>
      <c r="M100" s="19"/>
      <c r="N100" s="23"/>
    </row>
    <row r="101" spans="1:14" x14ac:dyDescent="0.2">
      <c r="A101" s="28">
        <v>18739</v>
      </c>
      <c r="B101" s="1" t="s">
        <v>213</v>
      </c>
      <c r="C101" s="1">
        <v>12144</v>
      </c>
      <c r="D101" s="1" t="s">
        <v>69</v>
      </c>
      <c r="E101" s="1" t="s">
        <v>179</v>
      </c>
      <c r="F101" s="12">
        <f t="shared" ref="F101:F132" ca="1" si="18">TODAY()</f>
        <v>46065</v>
      </c>
      <c r="G101" s="12">
        <v>46041</v>
      </c>
      <c r="H101" s="12">
        <f t="shared" ref="H101:H132" si="19">G101 + 10</f>
        <v>46051</v>
      </c>
      <c r="I101" s="13" t="s">
        <v>93</v>
      </c>
      <c r="J101" s="3"/>
      <c r="K101" s="3"/>
      <c r="L101" s="19" t="s">
        <v>50</v>
      </c>
      <c r="M101" s="19" t="s">
        <v>15</v>
      </c>
      <c r="N101" s="24">
        <v>0.98055555555555551</v>
      </c>
    </row>
    <row r="102" spans="1:14" x14ac:dyDescent="0.2">
      <c r="A102" s="28">
        <v>15198</v>
      </c>
      <c r="B102" s="1" t="s">
        <v>212</v>
      </c>
      <c r="C102" s="1" t="s">
        <v>180</v>
      </c>
      <c r="D102" s="1" t="s">
        <v>181</v>
      </c>
      <c r="E102" s="1" t="s">
        <v>224</v>
      </c>
      <c r="F102" s="12">
        <f t="shared" ca="1" si="18"/>
        <v>46065</v>
      </c>
      <c r="G102" s="12">
        <v>46041</v>
      </c>
      <c r="H102" s="12">
        <f t="shared" si="19"/>
        <v>46051</v>
      </c>
      <c r="I102" s="13" t="s">
        <v>93</v>
      </c>
      <c r="J102" s="3"/>
      <c r="K102" s="3"/>
      <c r="L102" s="19" t="s">
        <v>51</v>
      </c>
      <c r="M102" s="19"/>
      <c r="N102" s="24"/>
    </row>
    <row r="103" spans="1:14" x14ac:dyDescent="0.2">
      <c r="A103" s="28">
        <v>18740</v>
      </c>
      <c r="B103" s="1" t="s">
        <v>212</v>
      </c>
      <c r="C103" s="1" t="s">
        <v>182</v>
      </c>
      <c r="D103" s="1" t="s">
        <v>177</v>
      </c>
      <c r="E103" s="1" t="s">
        <v>183</v>
      </c>
      <c r="F103" s="12">
        <f t="shared" ca="1" si="18"/>
        <v>46065</v>
      </c>
      <c r="G103" s="12">
        <v>46041</v>
      </c>
      <c r="H103" s="12">
        <f t="shared" si="19"/>
        <v>46051</v>
      </c>
      <c r="I103" s="13" t="s">
        <v>93</v>
      </c>
      <c r="J103" s="3"/>
      <c r="K103" s="3"/>
      <c r="L103" s="19" t="s">
        <v>50</v>
      </c>
      <c r="M103" s="19"/>
      <c r="N103" s="24"/>
    </row>
    <row r="104" spans="1:14" x14ac:dyDescent="0.2">
      <c r="A104" s="28">
        <v>18745</v>
      </c>
      <c r="B104" s="1" t="s">
        <v>213</v>
      </c>
      <c r="C104" s="1">
        <v>12147</v>
      </c>
      <c r="D104" s="1" t="s">
        <v>117</v>
      </c>
      <c r="E104" s="1" t="s">
        <v>184</v>
      </c>
      <c r="F104" s="12">
        <f t="shared" ca="1" si="18"/>
        <v>46065</v>
      </c>
      <c r="G104" s="12">
        <v>46041</v>
      </c>
      <c r="H104" s="12">
        <f t="shared" si="19"/>
        <v>46051</v>
      </c>
      <c r="I104" s="13" t="s">
        <v>38</v>
      </c>
      <c r="J104" s="3"/>
      <c r="K104" s="3"/>
      <c r="L104" s="19" t="s">
        <v>50</v>
      </c>
      <c r="M104" s="19" t="s">
        <v>139</v>
      </c>
      <c r="N104" s="24"/>
    </row>
    <row r="105" spans="1:14" x14ac:dyDescent="0.2">
      <c r="A105" s="28">
        <v>18259</v>
      </c>
      <c r="B105" s="1" t="s">
        <v>214</v>
      </c>
      <c r="C105" s="1" t="s">
        <v>185</v>
      </c>
      <c r="D105" s="1" t="s">
        <v>249</v>
      </c>
      <c r="E105" s="1" t="s">
        <v>186</v>
      </c>
      <c r="F105" s="12">
        <f t="shared" ca="1" si="18"/>
        <v>46065</v>
      </c>
      <c r="G105" s="12">
        <v>46041</v>
      </c>
      <c r="H105" s="12">
        <f t="shared" si="19"/>
        <v>46051</v>
      </c>
      <c r="I105" s="13" t="s">
        <v>87</v>
      </c>
      <c r="J105" s="3"/>
      <c r="K105" s="3"/>
      <c r="L105" s="19" t="s">
        <v>51</v>
      </c>
      <c r="M105" s="19" t="s">
        <v>139</v>
      </c>
      <c r="N105" s="24"/>
    </row>
    <row r="106" spans="1:14" x14ac:dyDescent="0.2">
      <c r="A106" s="28">
        <v>18259</v>
      </c>
      <c r="B106" s="1" t="s">
        <v>214</v>
      </c>
      <c r="C106" s="1" t="s">
        <v>187</v>
      </c>
      <c r="D106" s="1" t="s">
        <v>249</v>
      </c>
      <c r="E106" s="1" t="s">
        <v>186</v>
      </c>
      <c r="F106" s="12">
        <f t="shared" ca="1" si="18"/>
        <v>46065</v>
      </c>
      <c r="G106" s="12">
        <v>46041</v>
      </c>
      <c r="H106" s="12">
        <f t="shared" si="19"/>
        <v>46051</v>
      </c>
      <c r="I106" s="7" t="s">
        <v>17</v>
      </c>
      <c r="J106" s="3"/>
      <c r="K106" s="3"/>
      <c r="L106" s="19" t="s">
        <v>51</v>
      </c>
      <c r="M106" s="19"/>
      <c r="N106" s="24"/>
    </row>
    <row r="107" spans="1:14" x14ac:dyDescent="0.2">
      <c r="A107" s="28">
        <v>18512</v>
      </c>
      <c r="B107" s="1" t="s">
        <v>212</v>
      </c>
      <c r="C107" s="1" t="s">
        <v>188</v>
      </c>
      <c r="D107" s="1" t="s">
        <v>27</v>
      </c>
      <c r="E107" s="1" t="s">
        <v>228</v>
      </c>
      <c r="F107" s="12">
        <f t="shared" ca="1" si="18"/>
        <v>46065</v>
      </c>
      <c r="G107" s="12">
        <v>46041</v>
      </c>
      <c r="H107" s="12">
        <f t="shared" si="19"/>
        <v>46051</v>
      </c>
      <c r="I107" s="7" t="s">
        <v>38</v>
      </c>
      <c r="J107" s="3"/>
      <c r="K107" s="3"/>
      <c r="L107" s="19" t="s">
        <v>51</v>
      </c>
      <c r="M107" s="19"/>
      <c r="N107" s="24"/>
    </row>
    <row r="108" spans="1:14" x14ac:dyDescent="0.2">
      <c r="A108" s="28">
        <v>18759</v>
      </c>
      <c r="B108" s="1" t="s">
        <v>213</v>
      </c>
      <c r="C108" s="1">
        <v>12161</v>
      </c>
      <c r="D108" s="1" t="s">
        <v>27</v>
      </c>
      <c r="E108" s="1" t="s">
        <v>228</v>
      </c>
      <c r="F108" s="2">
        <f t="shared" ca="1" si="18"/>
        <v>46065</v>
      </c>
      <c r="G108" s="2">
        <v>46041</v>
      </c>
      <c r="H108" s="2">
        <f t="shared" si="19"/>
        <v>46051</v>
      </c>
      <c r="I108" s="7" t="s">
        <v>38</v>
      </c>
      <c r="J108" s="3"/>
      <c r="K108" s="3"/>
      <c r="L108" s="19" t="s">
        <v>50</v>
      </c>
      <c r="M108" s="19"/>
      <c r="N108" s="22"/>
    </row>
    <row r="109" spans="1:14" x14ac:dyDescent="0.2">
      <c r="A109" s="28">
        <v>18760</v>
      </c>
      <c r="B109" s="1" t="s">
        <v>212</v>
      </c>
      <c r="C109" s="1" t="s">
        <v>189</v>
      </c>
      <c r="D109" s="1" t="s">
        <v>243</v>
      </c>
      <c r="E109" s="1" t="s">
        <v>190</v>
      </c>
      <c r="F109" s="2">
        <f t="shared" ca="1" si="18"/>
        <v>46065</v>
      </c>
      <c r="G109" s="2">
        <v>46041</v>
      </c>
      <c r="H109" s="2">
        <f t="shared" si="19"/>
        <v>46051</v>
      </c>
      <c r="I109" s="7" t="s">
        <v>38</v>
      </c>
      <c r="J109" s="3"/>
      <c r="K109" s="3"/>
      <c r="L109" s="19" t="s">
        <v>50</v>
      </c>
      <c r="M109" s="19"/>
      <c r="N109" s="22"/>
    </row>
    <row r="110" spans="1:14" x14ac:dyDescent="0.2">
      <c r="A110" s="28">
        <v>18123</v>
      </c>
      <c r="B110" s="1" t="s">
        <v>212</v>
      </c>
      <c r="C110" s="1" t="s">
        <v>191</v>
      </c>
      <c r="D110" s="15" t="s">
        <v>8</v>
      </c>
      <c r="E110" s="1" t="s">
        <v>135</v>
      </c>
      <c r="F110" s="2">
        <f t="shared" ca="1" si="18"/>
        <v>46065</v>
      </c>
      <c r="G110" s="2">
        <v>46041</v>
      </c>
      <c r="H110" s="2">
        <f t="shared" si="19"/>
        <v>46051</v>
      </c>
      <c r="I110" s="7" t="s">
        <v>38</v>
      </c>
      <c r="J110" s="3"/>
      <c r="K110" s="3"/>
      <c r="L110" s="19" t="s">
        <v>51</v>
      </c>
      <c r="M110" s="19" t="s">
        <v>278</v>
      </c>
      <c r="N110" s="22">
        <v>0.45277777777777778</v>
      </c>
    </row>
    <row r="111" spans="1:14" x14ac:dyDescent="0.2">
      <c r="A111" s="28">
        <v>18768</v>
      </c>
      <c r="B111" s="1" t="s">
        <v>212</v>
      </c>
      <c r="C111" s="14" t="s">
        <v>192</v>
      </c>
      <c r="D111" s="1" t="s">
        <v>243</v>
      </c>
      <c r="E111" s="14" t="s">
        <v>190</v>
      </c>
      <c r="F111" s="2">
        <f t="shared" ca="1" si="18"/>
        <v>46065</v>
      </c>
      <c r="G111" s="2">
        <v>46041</v>
      </c>
      <c r="H111" s="2">
        <f t="shared" si="19"/>
        <v>46051</v>
      </c>
      <c r="I111" s="7" t="s">
        <v>38</v>
      </c>
      <c r="J111" s="3"/>
      <c r="K111" s="3"/>
      <c r="L111" s="19" t="s">
        <v>50</v>
      </c>
      <c r="M111" s="19" t="s">
        <v>278</v>
      </c>
      <c r="N111" s="22">
        <v>0.45277777777777778</v>
      </c>
    </row>
    <row r="112" spans="1:14" x14ac:dyDescent="0.2">
      <c r="A112" s="28">
        <v>18765</v>
      </c>
      <c r="B112" s="1" t="s">
        <v>212</v>
      </c>
      <c r="C112" s="1" t="s">
        <v>193</v>
      </c>
      <c r="D112" s="1" t="s">
        <v>176</v>
      </c>
      <c r="E112" s="14" t="s">
        <v>194</v>
      </c>
      <c r="F112" s="2">
        <f t="shared" ca="1" si="18"/>
        <v>46065</v>
      </c>
      <c r="G112" s="2">
        <v>46041</v>
      </c>
      <c r="H112" s="2">
        <f t="shared" si="19"/>
        <v>46051</v>
      </c>
      <c r="I112" s="7" t="s">
        <v>93</v>
      </c>
      <c r="J112" s="3"/>
      <c r="K112" s="3"/>
      <c r="L112" s="19" t="s">
        <v>50</v>
      </c>
      <c r="M112" s="19" t="s">
        <v>278</v>
      </c>
      <c r="N112" s="22">
        <v>0.45277777777777778</v>
      </c>
    </row>
    <row r="113" spans="1:14" x14ac:dyDescent="0.2">
      <c r="A113" s="28">
        <v>18770</v>
      </c>
      <c r="B113" s="1" t="s">
        <v>212</v>
      </c>
      <c r="C113" s="14" t="s">
        <v>195</v>
      </c>
      <c r="D113" s="1" t="s">
        <v>244</v>
      </c>
      <c r="E113" s="14" t="s">
        <v>196</v>
      </c>
      <c r="F113" s="2">
        <f t="shared" ca="1" si="18"/>
        <v>46065</v>
      </c>
      <c r="G113" s="2">
        <v>46041</v>
      </c>
      <c r="H113" s="2">
        <f t="shared" si="19"/>
        <v>46051</v>
      </c>
      <c r="I113" s="7" t="s">
        <v>38</v>
      </c>
      <c r="J113" s="3"/>
      <c r="K113" s="3"/>
      <c r="L113" s="19" t="s">
        <v>50</v>
      </c>
      <c r="M113" s="19"/>
      <c r="N113" s="22"/>
    </row>
    <row r="114" spans="1:14" x14ac:dyDescent="0.2">
      <c r="A114" s="28">
        <v>18770</v>
      </c>
      <c r="B114" s="1" t="s">
        <v>212</v>
      </c>
      <c r="C114" s="14" t="s">
        <v>197</v>
      </c>
      <c r="D114" s="1" t="s">
        <v>244</v>
      </c>
      <c r="E114" s="14" t="s">
        <v>196</v>
      </c>
      <c r="F114" s="2">
        <f t="shared" ca="1" si="18"/>
        <v>46065</v>
      </c>
      <c r="G114" s="2">
        <v>46041</v>
      </c>
      <c r="H114" s="2">
        <f t="shared" si="19"/>
        <v>46051</v>
      </c>
      <c r="I114" s="7" t="s">
        <v>38</v>
      </c>
      <c r="J114" s="3"/>
      <c r="K114" s="3"/>
      <c r="L114" s="19" t="s">
        <v>51</v>
      </c>
      <c r="M114" s="19"/>
      <c r="N114" s="22"/>
    </row>
    <row r="115" spans="1:14" x14ac:dyDescent="0.2">
      <c r="A115" s="28">
        <v>18338</v>
      </c>
      <c r="B115" s="1" t="s">
        <v>212</v>
      </c>
      <c r="C115" s="14" t="s">
        <v>198</v>
      </c>
      <c r="D115" s="15" t="s">
        <v>8</v>
      </c>
      <c r="E115" s="14" t="s">
        <v>199</v>
      </c>
      <c r="F115" s="2">
        <f t="shared" ca="1" si="18"/>
        <v>46065</v>
      </c>
      <c r="G115" s="2">
        <v>46041</v>
      </c>
      <c r="H115" s="2">
        <f t="shared" si="19"/>
        <v>46051</v>
      </c>
      <c r="I115" s="7" t="s">
        <v>38</v>
      </c>
      <c r="J115" s="3"/>
      <c r="K115" s="3"/>
      <c r="L115" s="19" t="s">
        <v>51</v>
      </c>
      <c r="M115" s="19"/>
      <c r="N115" s="22"/>
    </row>
    <row r="116" spans="1:14" x14ac:dyDescent="0.2">
      <c r="A116" s="28">
        <v>18734</v>
      </c>
      <c r="B116" s="1" t="s">
        <v>212</v>
      </c>
      <c r="C116" s="14" t="s">
        <v>200</v>
      </c>
      <c r="D116" s="1" t="s">
        <v>233</v>
      </c>
      <c r="E116" s="14" t="s">
        <v>201</v>
      </c>
      <c r="F116" s="2">
        <f t="shared" ca="1" si="18"/>
        <v>46065</v>
      </c>
      <c r="G116" s="2">
        <v>46041</v>
      </c>
      <c r="H116" s="2">
        <f t="shared" si="19"/>
        <v>46051</v>
      </c>
      <c r="I116" s="7" t="s">
        <v>93</v>
      </c>
      <c r="J116" s="19" t="str">
        <f ca="1">IF(TODAY()&gt;H116, "ACTION NEEDED", "NO ACTION NEEDED")</f>
        <v>ACTION NEEDED</v>
      </c>
      <c r="K116" s="19" t="str">
        <f>IF(F223&gt;=E223,"On Time","Order Still Needed?")</f>
        <v>On Time</v>
      </c>
      <c r="L116" s="19"/>
      <c r="M116" s="19"/>
      <c r="N116" s="22"/>
    </row>
    <row r="117" spans="1:14" x14ac:dyDescent="0.2">
      <c r="A117" s="28">
        <v>15835</v>
      </c>
      <c r="B117" s="1" t="s">
        <v>214</v>
      </c>
      <c r="C117" s="14" t="s">
        <v>202</v>
      </c>
      <c r="D117" s="1" t="s">
        <v>149</v>
      </c>
      <c r="E117" s="14" t="s">
        <v>150</v>
      </c>
      <c r="F117" s="2">
        <f t="shared" ca="1" si="18"/>
        <v>46065</v>
      </c>
      <c r="G117" s="2">
        <v>46041</v>
      </c>
      <c r="H117" s="2">
        <f t="shared" si="19"/>
        <v>46051</v>
      </c>
      <c r="I117" s="7" t="s">
        <v>17</v>
      </c>
      <c r="J117" s="19"/>
      <c r="K117" s="19"/>
      <c r="L117" s="19" t="s">
        <v>51</v>
      </c>
      <c r="M117" s="19"/>
      <c r="N117" s="22"/>
    </row>
    <row r="118" spans="1:14" x14ac:dyDescent="0.2">
      <c r="A118" s="28">
        <v>16204</v>
      </c>
      <c r="B118" s="1" t="s">
        <v>212</v>
      </c>
      <c r="C118" s="14" t="s">
        <v>203</v>
      </c>
      <c r="D118" s="1" t="s">
        <v>27</v>
      </c>
      <c r="E118" s="14" t="s">
        <v>146</v>
      </c>
      <c r="F118" s="2">
        <f t="shared" ca="1" si="18"/>
        <v>46065</v>
      </c>
      <c r="G118" s="2">
        <v>46041</v>
      </c>
      <c r="H118" s="2">
        <f t="shared" si="19"/>
        <v>46051</v>
      </c>
      <c r="I118" s="7" t="s">
        <v>38</v>
      </c>
      <c r="J118" s="19"/>
      <c r="K118" s="19"/>
      <c r="L118" s="19" t="s">
        <v>51</v>
      </c>
      <c r="M118" s="19"/>
      <c r="N118" s="22"/>
    </row>
    <row r="119" spans="1:14" x14ac:dyDescent="0.2">
      <c r="A119" s="28">
        <v>18137</v>
      </c>
      <c r="B119" s="1" t="s">
        <v>212</v>
      </c>
      <c r="C119" s="1" t="s">
        <v>206</v>
      </c>
      <c r="D119" s="1" t="s">
        <v>207</v>
      </c>
      <c r="E119" s="14" t="s">
        <v>208</v>
      </c>
      <c r="F119" s="2">
        <f t="shared" ca="1" si="18"/>
        <v>46065</v>
      </c>
      <c r="G119" s="2">
        <v>46041</v>
      </c>
      <c r="H119" s="2">
        <f t="shared" si="19"/>
        <v>46051</v>
      </c>
      <c r="I119" s="7" t="s">
        <v>38</v>
      </c>
      <c r="J119" s="19" t="str">
        <f t="shared" ref="J119" ca="1" si="20">IF(TODAY()&gt;H119, "ACTION NEEDED", "NO ACTION NEEDED")</f>
        <v>ACTION NEEDED</v>
      </c>
      <c r="K119" s="19" t="str">
        <f t="shared" ref="K119" si="21">IF(F226&gt;=E226,"On Time","Order Still Needed?")</f>
        <v>On Time</v>
      </c>
      <c r="L119" s="19"/>
      <c r="M119" s="19"/>
      <c r="N119" s="22"/>
    </row>
    <row r="120" spans="1:14" x14ac:dyDescent="0.2">
      <c r="A120" s="28">
        <v>18789</v>
      </c>
      <c r="B120" s="1" t="s">
        <v>213</v>
      </c>
      <c r="C120" s="14">
        <v>12181</v>
      </c>
      <c r="D120" s="1" t="s">
        <v>222</v>
      </c>
      <c r="E120" s="14" t="s">
        <v>250</v>
      </c>
      <c r="F120" s="2">
        <f t="shared" ca="1" si="18"/>
        <v>46065</v>
      </c>
      <c r="G120" s="2">
        <v>46041</v>
      </c>
      <c r="H120" s="2">
        <f t="shared" si="19"/>
        <v>46051</v>
      </c>
      <c r="I120" s="7" t="s">
        <v>38</v>
      </c>
      <c r="J120" s="19"/>
      <c r="K120" s="19"/>
      <c r="L120" s="19" t="s">
        <v>50</v>
      </c>
      <c r="M120" s="19"/>
      <c r="N120" s="22"/>
    </row>
    <row r="121" spans="1:14" x14ac:dyDescent="0.2">
      <c r="A121" s="28">
        <v>18788</v>
      </c>
      <c r="B121" s="1" t="s">
        <v>212</v>
      </c>
      <c r="C121" s="14" t="s">
        <v>210</v>
      </c>
      <c r="D121" s="1" t="s">
        <v>222</v>
      </c>
      <c r="E121" s="14" t="s">
        <v>250</v>
      </c>
      <c r="F121" s="2">
        <f t="shared" ca="1" si="18"/>
        <v>46065</v>
      </c>
      <c r="G121" s="2">
        <v>46041</v>
      </c>
      <c r="H121" s="2">
        <f t="shared" si="19"/>
        <v>46051</v>
      </c>
      <c r="I121" s="7" t="s">
        <v>38</v>
      </c>
      <c r="J121" s="19"/>
      <c r="K121" s="19"/>
      <c r="L121" s="19" t="s">
        <v>50</v>
      </c>
      <c r="M121" s="19"/>
      <c r="N121" s="22"/>
    </row>
    <row r="122" spans="1:14" x14ac:dyDescent="0.2">
      <c r="A122" s="28">
        <v>18794</v>
      </c>
      <c r="B122" s="1" t="s">
        <v>212</v>
      </c>
      <c r="C122" s="16" t="s">
        <v>211</v>
      </c>
      <c r="D122" s="31" t="s">
        <v>222</v>
      </c>
      <c r="E122" s="14" t="s">
        <v>130</v>
      </c>
      <c r="F122" s="2">
        <f t="shared" ca="1" si="18"/>
        <v>46065</v>
      </c>
      <c r="G122" s="2">
        <v>46041</v>
      </c>
      <c r="H122" s="2">
        <f t="shared" si="19"/>
        <v>46051</v>
      </c>
      <c r="I122" s="7" t="s">
        <v>38</v>
      </c>
      <c r="J122" s="19"/>
      <c r="K122" s="19"/>
      <c r="L122" s="19" t="s">
        <v>50</v>
      </c>
      <c r="M122" s="19"/>
      <c r="N122" s="22"/>
    </row>
    <row r="123" spans="1:14" x14ac:dyDescent="0.2">
      <c r="A123" s="28">
        <v>18797</v>
      </c>
      <c r="B123" s="1" t="s">
        <v>213</v>
      </c>
      <c r="C123" s="13">
        <v>12192</v>
      </c>
      <c r="D123" s="29" t="s">
        <v>318</v>
      </c>
      <c r="E123" s="30" t="s">
        <v>215</v>
      </c>
      <c r="F123" s="2">
        <f t="shared" ca="1" si="18"/>
        <v>46065</v>
      </c>
      <c r="G123" s="2">
        <v>46041</v>
      </c>
      <c r="H123" s="2">
        <f t="shared" si="19"/>
        <v>46051</v>
      </c>
      <c r="I123" s="7" t="s">
        <v>17</v>
      </c>
      <c r="J123" s="19"/>
      <c r="K123" s="19"/>
      <c r="L123" s="19" t="s">
        <v>50</v>
      </c>
      <c r="M123" s="19"/>
      <c r="N123" s="22"/>
    </row>
    <row r="124" spans="1:14" x14ac:dyDescent="0.2">
      <c r="A124" s="28">
        <v>17348</v>
      </c>
      <c r="B124" s="1" t="s">
        <v>214</v>
      </c>
      <c r="C124" s="13" t="s">
        <v>216</v>
      </c>
      <c r="D124" s="29" t="s">
        <v>46</v>
      </c>
      <c r="E124" s="30" t="s">
        <v>234</v>
      </c>
      <c r="F124" s="2">
        <f t="shared" ca="1" si="18"/>
        <v>46065</v>
      </c>
      <c r="G124" s="2">
        <v>46041</v>
      </c>
      <c r="H124" s="2">
        <f t="shared" si="19"/>
        <v>46051</v>
      </c>
      <c r="I124" s="7" t="s">
        <v>17</v>
      </c>
      <c r="J124" s="19"/>
      <c r="K124" s="19"/>
      <c r="L124" s="19" t="s">
        <v>51</v>
      </c>
      <c r="M124" s="19"/>
      <c r="N124" s="22"/>
    </row>
    <row r="125" spans="1:14" x14ac:dyDescent="0.2">
      <c r="A125" s="28">
        <v>17520</v>
      </c>
      <c r="B125" s="1" t="s">
        <v>214</v>
      </c>
      <c r="C125" s="13" t="s">
        <v>218</v>
      </c>
      <c r="D125" s="29" t="s">
        <v>231</v>
      </c>
      <c r="E125" s="30" t="s">
        <v>161</v>
      </c>
      <c r="F125" s="2">
        <f t="shared" ca="1" si="18"/>
        <v>46065</v>
      </c>
      <c r="G125" s="2">
        <v>46041</v>
      </c>
      <c r="H125" s="2">
        <f t="shared" si="19"/>
        <v>46051</v>
      </c>
      <c r="I125" s="7" t="s">
        <v>17</v>
      </c>
      <c r="J125" s="19"/>
      <c r="K125" s="19"/>
      <c r="L125" s="19" t="s">
        <v>51</v>
      </c>
      <c r="M125" s="19"/>
      <c r="N125" s="22"/>
    </row>
    <row r="126" spans="1:14" x14ac:dyDescent="0.2">
      <c r="A126" s="28">
        <v>18809</v>
      </c>
      <c r="B126" s="1" t="s">
        <v>213</v>
      </c>
      <c r="C126" s="14">
        <v>12198</v>
      </c>
      <c r="D126" s="32" t="s">
        <v>256</v>
      </c>
      <c r="E126" s="14" t="s">
        <v>215</v>
      </c>
      <c r="F126" s="2">
        <f t="shared" ca="1" si="18"/>
        <v>46065</v>
      </c>
      <c r="G126" s="2">
        <v>46041</v>
      </c>
      <c r="H126" s="2">
        <f t="shared" si="19"/>
        <v>46051</v>
      </c>
      <c r="I126" s="7" t="s">
        <v>17</v>
      </c>
      <c r="J126" s="19" t="str">
        <f t="shared" ref="J126:J140" ca="1" si="22">IF(TODAY()&gt;H126, "ACTION NEEDED", "NO ACTION NEEDED")</f>
        <v>ACTION NEEDED</v>
      </c>
      <c r="K126" s="19" t="str">
        <f>IF(F233&gt;=E233,"On Time","Order Still Needed?")</f>
        <v>On Time</v>
      </c>
      <c r="L126" s="19"/>
      <c r="M126" s="19"/>
      <c r="N126" s="22"/>
    </row>
    <row r="127" spans="1:14" x14ac:dyDescent="0.2">
      <c r="A127" s="28">
        <v>18808</v>
      </c>
      <c r="B127" s="1" t="s">
        <v>212</v>
      </c>
      <c r="C127" s="14" t="s">
        <v>251</v>
      </c>
      <c r="D127" s="1" t="s">
        <v>8</v>
      </c>
      <c r="E127" s="14" t="s">
        <v>252</v>
      </c>
      <c r="F127" s="2">
        <f t="shared" ca="1" si="18"/>
        <v>46065</v>
      </c>
      <c r="G127" s="2">
        <v>46051</v>
      </c>
      <c r="H127" s="2">
        <f t="shared" si="19"/>
        <v>46061</v>
      </c>
      <c r="I127" s="7" t="s">
        <v>87</v>
      </c>
      <c r="J127" s="19"/>
      <c r="K127" s="19"/>
      <c r="L127" s="19" t="s">
        <v>50</v>
      </c>
      <c r="M127" s="19"/>
      <c r="N127" s="22"/>
    </row>
    <row r="128" spans="1:14" x14ac:dyDescent="0.2">
      <c r="A128" s="28" t="s">
        <v>247</v>
      </c>
      <c r="B128" s="1" t="s">
        <v>247</v>
      </c>
      <c r="C128" s="1" t="s">
        <v>253</v>
      </c>
      <c r="D128" s="1" t="s">
        <v>8</v>
      </c>
      <c r="E128" s="14" t="s">
        <v>254</v>
      </c>
      <c r="F128" s="2">
        <f t="shared" ca="1" si="18"/>
        <v>46065</v>
      </c>
      <c r="G128" s="2">
        <v>46051</v>
      </c>
      <c r="H128" s="2">
        <f t="shared" si="19"/>
        <v>46061</v>
      </c>
      <c r="I128" s="7" t="s">
        <v>87</v>
      </c>
      <c r="J128" s="19"/>
      <c r="K128" s="19"/>
      <c r="L128" s="19" t="s">
        <v>204</v>
      </c>
      <c r="M128" s="19"/>
      <c r="N128" s="22"/>
    </row>
    <row r="129" spans="1:14" x14ac:dyDescent="0.2">
      <c r="A129" s="28">
        <v>15402</v>
      </c>
      <c r="B129" s="1" t="s">
        <v>212</v>
      </c>
      <c r="C129" s="1" t="s">
        <v>255</v>
      </c>
      <c r="D129" s="1" t="s">
        <v>8</v>
      </c>
      <c r="E129" s="14" t="s">
        <v>254</v>
      </c>
      <c r="F129" s="2">
        <f t="shared" ca="1" si="18"/>
        <v>46065</v>
      </c>
      <c r="G129" s="2">
        <v>46051</v>
      </c>
      <c r="H129" s="2">
        <f t="shared" si="19"/>
        <v>46061</v>
      </c>
      <c r="I129" s="7" t="s">
        <v>87</v>
      </c>
      <c r="J129" s="19"/>
      <c r="K129" s="19"/>
      <c r="L129" s="19" t="s">
        <v>51</v>
      </c>
      <c r="M129" s="19"/>
      <c r="N129" s="22"/>
    </row>
    <row r="130" spans="1:14" x14ac:dyDescent="0.2">
      <c r="A130" s="28">
        <v>18813</v>
      </c>
      <c r="B130" s="1" t="s">
        <v>212</v>
      </c>
      <c r="C130" s="14" t="s">
        <v>257</v>
      </c>
      <c r="D130" s="1" t="s">
        <v>8</v>
      </c>
      <c r="E130" s="14" t="s">
        <v>258</v>
      </c>
      <c r="F130" s="2">
        <f t="shared" ca="1" si="18"/>
        <v>46065</v>
      </c>
      <c r="G130" s="2">
        <v>46051</v>
      </c>
      <c r="H130" s="2">
        <f t="shared" si="19"/>
        <v>46061</v>
      </c>
      <c r="I130" s="7" t="s">
        <v>87</v>
      </c>
      <c r="J130" s="19"/>
      <c r="K130" s="19"/>
      <c r="L130" s="19" t="s">
        <v>50</v>
      </c>
      <c r="M130" s="1"/>
      <c r="N130" s="14"/>
    </row>
    <row r="131" spans="1:14" x14ac:dyDescent="0.2">
      <c r="A131" s="28">
        <v>18792</v>
      </c>
      <c r="B131" s="1" t="s">
        <v>213</v>
      </c>
      <c r="C131" s="14">
        <v>12202</v>
      </c>
      <c r="D131" s="1" t="s">
        <v>8</v>
      </c>
      <c r="E131" s="14" t="s">
        <v>258</v>
      </c>
      <c r="F131" s="2">
        <f t="shared" ca="1" si="18"/>
        <v>46065</v>
      </c>
      <c r="G131" s="2">
        <v>46051</v>
      </c>
      <c r="H131" s="2">
        <f t="shared" si="19"/>
        <v>46061</v>
      </c>
      <c r="I131" s="7" t="s">
        <v>87</v>
      </c>
      <c r="J131" s="19"/>
      <c r="K131" s="19"/>
      <c r="L131" s="19" t="s">
        <v>50</v>
      </c>
      <c r="M131" s="1"/>
      <c r="N131" s="14"/>
    </row>
    <row r="132" spans="1:14" x14ac:dyDescent="0.2">
      <c r="A132" s="28" t="s">
        <v>247</v>
      </c>
      <c r="B132" s="1" t="s">
        <v>247</v>
      </c>
      <c r="C132" s="1" t="s">
        <v>259</v>
      </c>
      <c r="D132" s="1" t="s">
        <v>261</v>
      </c>
      <c r="E132" s="14" t="s">
        <v>209</v>
      </c>
      <c r="F132" s="2">
        <f t="shared" ca="1" si="18"/>
        <v>46065</v>
      </c>
      <c r="G132" s="2">
        <v>46051</v>
      </c>
      <c r="H132" s="2">
        <f t="shared" si="19"/>
        <v>46061</v>
      </c>
      <c r="I132" s="7" t="s">
        <v>267</v>
      </c>
      <c r="J132" s="19"/>
      <c r="K132" s="19"/>
      <c r="L132" s="19" t="s">
        <v>204</v>
      </c>
      <c r="M132" s="1"/>
      <c r="N132" s="14"/>
    </row>
    <row r="133" spans="1:14" x14ac:dyDescent="0.2">
      <c r="A133" s="28" t="s">
        <v>247</v>
      </c>
      <c r="B133" s="1" t="s">
        <v>247</v>
      </c>
      <c r="C133" s="1" t="s">
        <v>260</v>
      </c>
      <c r="D133" s="1" t="s">
        <v>261</v>
      </c>
      <c r="E133" s="14" t="s">
        <v>209</v>
      </c>
      <c r="F133" s="2">
        <f t="shared" ref="F133:F154" ca="1" si="23">TODAY()</f>
        <v>46065</v>
      </c>
      <c r="G133" s="2">
        <v>46051</v>
      </c>
      <c r="H133" s="2">
        <f t="shared" ref="H133:H153" si="24">G133 + 10</f>
        <v>46061</v>
      </c>
      <c r="I133" s="7" t="s">
        <v>267</v>
      </c>
      <c r="J133" s="19"/>
      <c r="K133" s="19"/>
      <c r="L133" s="19" t="s">
        <v>204</v>
      </c>
      <c r="M133" s="1"/>
      <c r="N133" s="14"/>
    </row>
    <row r="134" spans="1:14" x14ac:dyDescent="0.2">
      <c r="A134" s="28" t="s">
        <v>247</v>
      </c>
      <c r="B134" s="1" t="s">
        <v>247</v>
      </c>
      <c r="C134" s="1" t="s">
        <v>262</v>
      </c>
      <c r="D134" s="1" t="s">
        <v>261</v>
      </c>
      <c r="E134" s="1" t="s">
        <v>90</v>
      </c>
      <c r="F134" s="2">
        <f t="shared" ca="1" si="23"/>
        <v>46065</v>
      </c>
      <c r="G134" s="2">
        <v>46051</v>
      </c>
      <c r="H134" s="2">
        <f t="shared" si="24"/>
        <v>46061</v>
      </c>
      <c r="I134" s="7" t="s">
        <v>267</v>
      </c>
      <c r="J134" s="19"/>
      <c r="K134" s="19"/>
      <c r="L134" s="19" t="s">
        <v>204</v>
      </c>
      <c r="M134" s="1"/>
      <c r="N134" s="14"/>
    </row>
    <row r="135" spans="1:14" x14ac:dyDescent="0.2">
      <c r="A135" s="28" t="s">
        <v>247</v>
      </c>
      <c r="B135" s="1" t="s">
        <v>247</v>
      </c>
      <c r="C135" s="1" t="s">
        <v>263</v>
      </c>
      <c r="D135" s="1" t="s">
        <v>261</v>
      </c>
      <c r="E135" s="1" t="s">
        <v>90</v>
      </c>
      <c r="F135" s="2">
        <f t="shared" ca="1" si="23"/>
        <v>46065</v>
      </c>
      <c r="G135" s="2">
        <v>46051</v>
      </c>
      <c r="H135" s="2">
        <f t="shared" si="24"/>
        <v>46061</v>
      </c>
      <c r="I135" s="7" t="s">
        <v>267</v>
      </c>
      <c r="J135" s="19"/>
      <c r="K135" s="19"/>
      <c r="L135" s="19" t="s">
        <v>204</v>
      </c>
      <c r="M135" s="1"/>
      <c r="N135" s="14"/>
    </row>
    <row r="136" spans="1:14" x14ac:dyDescent="0.2">
      <c r="A136" s="28">
        <v>17348</v>
      </c>
      <c r="B136" s="1" t="s">
        <v>214</v>
      </c>
      <c r="C136" s="14" t="s">
        <v>264</v>
      </c>
      <c r="D136" s="1" t="s">
        <v>46</v>
      </c>
      <c r="E136" s="14" t="s">
        <v>217</v>
      </c>
      <c r="F136" s="2">
        <f t="shared" ca="1" si="23"/>
        <v>46065</v>
      </c>
      <c r="G136" s="2">
        <v>46051</v>
      </c>
      <c r="H136" s="2">
        <f t="shared" si="24"/>
        <v>46061</v>
      </c>
      <c r="I136" s="7" t="s">
        <v>87</v>
      </c>
      <c r="J136" s="19"/>
      <c r="K136" s="19"/>
      <c r="L136" s="19" t="s">
        <v>51</v>
      </c>
      <c r="M136" s="1"/>
      <c r="N136" s="14"/>
    </row>
    <row r="137" spans="1:14" x14ac:dyDescent="0.2">
      <c r="A137" s="28">
        <v>14074</v>
      </c>
      <c r="B137" s="1" t="s">
        <v>212</v>
      </c>
      <c r="C137" s="14" t="s">
        <v>265</v>
      </c>
      <c r="D137" s="1" t="s">
        <v>261</v>
      </c>
      <c r="E137" s="14" t="s">
        <v>209</v>
      </c>
      <c r="F137" s="2">
        <f t="shared" ca="1" si="23"/>
        <v>46065</v>
      </c>
      <c r="G137" s="2">
        <v>46051</v>
      </c>
      <c r="H137" s="2">
        <f t="shared" si="24"/>
        <v>46061</v>
      </c>
      <c r="I137" s="7" t="s">
        <v>38</v>
      </c>
      <c r="J137" s="19" t="str">
        <f t="shared" ca="1" si="22"/>
        <v>ACTION NEEDED</v>
      </c>
      <c r="K137" s="19" t="str">
        <f>IF(F244&gt;=E244,"On Time","Order Still Needed?")</f>
        <v>On Time</v>
      </c>
      <c r="L137" s="1"/>
      <c r="M137" s="1"/>
      <c r="N137" s="14"/>
    </row>
    <row r="138" spans="1:14" x14ac:dyDescent="0.2">
      <c r="A138" s="28">
        <v>14229</v>
      </c>
      <c r="B138" s="1" t="s">
        <v>212</v>
      </c>
      <c r="C138" s="14" t="s">
        <v>266</v>
      </c>
      <c r="D138" s="1" t="s">
        <v>261</v>
      </c>
      <c r="E138" s="14" t="s">
        <v>209</v>
      </c>
      <c r="F138" s="2">
        <f t="shared" ca="1" si="23"/>
        <v>46065</v>
      </c>
      <c r="G138" s="2">
        <v>46051</v>
      </c>
      <c r="H138" s="2">
        <f t="shared" si="24"/>
        <v>46061</v>
      </c>
      <c r="I138" s="7" t="s">
        <v>38</v>
      </c>
      <c r="J138" s="19" t="str">
        <f t="shared" ca="1" si="22"/>
        <v>ACTION NEEDED</v>
      </c>
      <c r="K138" s="19" t="str">
        <f>IF(F245&gt;=E245,"On Time","Order Still Needed?")</f>
        <v>On Time</v>
      </c>
      <c r="L138" s="1"/>
      <c r="M138" s="1"/>
      <c r="N138" s="14"/>
    </row>
    <row r="139" spans="1:14" x14ac:dyDescent="0.2">
      <c r="A139" s="28">
        <v>14075</v>
      </c>
      <c r="B139" s="1" t="s">
        <v>212</v>
      </c>
      <c r="C139" s="1" t="s">
        <v>329</v>
      </c>
      <c r="D139" s="1" t="s">
        <v>261</v>
      </c>
      <c r="E139" s="1" t="s">
        <v>90</v>
      </c>
      <c r="F139" s="2">
        <f t="shared" ca="1" si="23"/>
        <v>46065</v>
      </c>
      <c r="G139" s="2">
        <v>46051</v>
      </c>
      <c r="H139" s="2">
        <f t="shared" si="24"/>
        <v>46061</v>
      </c>
      <c r="I139" s="7" t="s">
        <v>38</v>
      </c>
      <c r="J139" s="19" t="str">
        <f t="shared" ca="1" si="22"/>
        <v>ACTION NEEDED</v>
      </c>
      <c r="K139" s="19" t="str">
        <f>IF(F246&gt;=E246,"On Time","Order Still Needed?")</f>
        <v>On Time</v>
      </c>
      <c r="L139" s="1"/>
      <c r="M139" s="1"/>
      <c r="N139" s="14"/>
    </row>
    <row r="140" spans="1:14" x14ac:dyDescent="0.2">
      <c r="A140" s="28">
        <v>14228</v>
      </c>
      <c r="B140" s="1" t="s">
        <v>212</v>
      </c>
      <c r="C140" s="1" t="s">
        <v>330</v>
      </c>
      <c r="D140" s="1" t="s">
        <v>261</v>
      </c>
      <c r="E140" s="1" t="s">
        <v>90</v>
      </c>
      <c r="F140" s="2">
        <f t="shared" ca="1" si="23"/>
        <v>46065</v>
      </c>
      <c r="G140" s="2">
        <v>46051</v>
      </c>
      <c r="H140" s="2">
        <f t="shared" si="24"/>
        <v>46061</v>
      </c>
      <c r="I140" s="7" t="s">
        <v>38</v>
      </c>
      <c r="J140" s="19" t="str">
        <f t="shared" ca="1" si="22"/>
        <v>ACTION NEEDED</v>
      </c>
      <c r="K140" s="19" t="str">
        <f>IF(F247&gt;=E247,"On Time","Order Still Needed?")</f>
        <v>On Time</v>
      </c>
      <c r="L140" s="1"/>
      <c r="M140" s="1"/>
      <c r="N140" s="14"/>
    </row>
    <row r="141" spans="1:14" x14ac:dyDescent="0.2">
      <c r="A141" s="28">
        <v>18822</v>
      </c>
      <c r="B141" s="1" t="s">
        <v>213</v>
      </c>
      <c r="C141" s="14">
        <v>12206</v>
      </c>
      <c r="D141" s="1" t="s">
        <v>261</v>
      </c>
      <c r="E141" s="14" t="s">
        <v>268</v>
      </c>
      <c r="F141" s="2">
        <f t="shared" ca="1" si="23"/>
        <v>46065</v>
      </c>
      <c r="G141" s="2">
        <v>46051</v>
      </c>
      <c r="H141" s="2">
        <f t="shared" si="24"/>
        <v>46061</v>
      </c>
      <c r="I141" s="7" t="s">
        <v>38</v>
      </c>
      <c r="J141" s="19"/>
      <c r="K141" s="19"/>
      <c r="L141" s="19" t="s">
        <v>50</v>
      </c>
      <c r="M141" s="1"/>
      <c r="N141" s="14"/>
    </row>
    <row r="142" spans="1:14" x14ac:dyDescent="0.2">
      <c r="A142" s="28">
        <v>18823</v>
      </c>
      <c r="B142" s="1" t="s">
        <v>212</v>
      </c>
      <c r="C142" s="1" t="s">
        <v>269</v>
      </c>
      <c r="D142" s="1" t="s">
        <v>27</v>
      </c>
      <c r="E142" s="14" t="s">
        <v>270</v>
      </c>
      <c r="F142" s="2">
        <f t="shared" ca="1" si="23"/>
        <v>46065</v>
      </c>
      <c r="G142" s="2">
        <v>46051</v>
      </c>
      <c r="H142" s="2">
        <f t="shared" si="24"/>
        <v>46061</v>
      </c>
      <c r="I142" s="7" t="s">
        <v>38</v>
      </c>
      <c r="J142" s="19"/>
      <c r="K142" s="19"/>
      <c r="L142" s="19" t="s">
        <v>50</v>
      </c>
      <c r="M142" s="1" t="s">
        <v>34</v>
      </c>
      <c r="N142" s="14"/>
    </row>
    <row r="143" spans="1:14" x14ac:dyDescent="0.2">
      <c r="A143" s="28">
        <v>17520</v>
      </c>
      <c r="B143" s="1" t="s">
        <v>214</v>
      </c>
      <c r="C143" s="14" t="s">
        <v>271</v>
      </c>
      <c r="D143" s="1" t="s">
        <v>160</v>
      </c>
      <c r="E143" s="14" t="s">
        <v>161</v>
      </c>
      <c r="F143" s="2">
        <f t="shared" ca="1" si="23"/>
        <v>46065</v>
      </c>
      <c r="G143" s="2">
        <v>46051</v>
      </c>
      <c r="H143" s="2">
        <f t="shared" si="24"/>
        <v>46061</v>
      </c>
      <c r="I143" s="7" t="s">
        <v>38</v>
      </c>
      <c r="J143" s="19"/>
      <c r="K143" s="19"/>
      <c r="L143" s="19" t="s">
        <v>51</v>
      </c>
      <c r="M143" s="1"/>
      <c r="N143" s="14"/>
    </row>
    <row r="144" spans="1:14" x14ac:dyDescent="0.2">
      <c r="A144" s="28">
        <v>18816</v>
      </c>
      <c r="B144" s="1" t="s">
        <v>212</v>
      </c>
      <c r="C144" s="14" t="s">
        <v>272</v>
      </c>
      <c r="D144" s="1" t="s">
        <v>8</v>
      </c>
      <c r="E144" s="14" t="s">
        <v>135</v>
      </c>
      <c r="F144" s="2">
        <f t="shared" ca="1" si="23"/>
        <v>46065</v>
      </c>
      <c r="G144" s="2">
        <v>46051</v>
      </c>
      <c r="H144" s="2">
        <f t="shared" si="24"/>
        <v>46061</v>
      </c>
      <c r="I144" s="7" t="s">
        <v>38</v>
      </c>
      <c r="J144" s="19"/>
      <c r="K144" s="19"/>
      <c r="L144" s="19" t="s">
        <v>50</v>
      </c>
      <c r="M144" s="1"/>
      <c r="N144" s="14"/>
    </row>
    <row r="145" spans="1:14" x14ac:dyDescent="0.2">
      <c r="A145" s="28">
        <v>18836</v>
      </c>
      <c r="B145" s="1" t="s">
        <v>213</v>
      </c>
      <c r="C145" s="14">
        <v>12213</v>
      </c>
      <c r="D145" s="1" t="s">
        <v>261</v>
      </c>
      <c r="E145" s="14" t="s">
        <v>130</v>
      </c>
      <c r="F145" s="2">
        <f t="shared" ca="1" si="23"/>
        <v>46065</v>
      </c>
      <c r="G145" s="2">
        <v>46051</v>
      </c>
      <c r="H145" s="2">
        <f t="shared" si="24"/>
        <v>46061</v>
      </c>
      <c r="I145" s="7" t="s">
        <v>38</v>
      </c>
      <c r="J145" s="19"/>
      <c r="K145" s="19"/>
      <c r="L145" s="19" t="s">
        <v>50</v>
      </c>
      <c r="M145" s="1"/>
      <c r="N145" s="14"/>
    </row>
    <row r="146" spans="1:14" x14ac:dyDescent="0.2">
      <c r="A146" s="28">
        <v>17348</v>
      </c>
      <c r="B146" s="1" t="s">
        <v>214</v>
      </c>
      <c r="C146" s="14" t="s">
        <v>275</v>
      </c>
      <c r="D146" s="1" t="s">
        <v>235</v>
      </c>
      <c r="E146" s="14" t="s">
        <v>217</v>
      </c>
      <c r="F146" s="2">
        <f t="shared" ca="1" si="23"/>
        <v>46065</v>
      </c>
      <c r="G146" s="2">
        <v>46051</v>
      </c>
      <c r="H146" s="2">
        <f t="shared" si="24"/>
        <v>46061</v>
      </c>
      <c r="I146" s="7" t="s">
        <v>38</v>
      </c>
      <c r="J146" s="19"/>
      <c r="K146" s="19"/>
      <c r="L146" s="19" t="s">
        <v>51</v>
      </c>
      <c r="M146" s="1"/>
      <c r="N146" s="14"/>
    </row>
    <row r="147" spans="1:14" x14ac:dyDescent="0.2">
      <c r="A147" s="28">
        <v>18838</v>
      </c>
      <c r="B147" s="1" t="s">
        <v>212</v>
      </c>
      <c r="C147" s="14" t="s">
        <v>276</v>
      </c>
      <c r="D147" s="1" t="s">
        <v>8</v>
      </c>
      <c r="E147" s="14" t="s">
        <v>277</v>
      </c>
      <c r="F147" s="2">
        <f t="shared" ca="1" si="23"/>
        <v>46065</v>
      </c>
      <c r="G147" s="2">
        <v>46051</v>
      </c>
      <c r="H147" s="2">
        <f t="shared" si="24"/>
        <v>46061</v>
      </c>
      <c r="I147" s="7" t="s">
        <v>38</v>
      </c>
      <c r="J147" s="19"/>
      <c r="K147" s="19"/>
      <c r="L147" s="19" t="s">
        <v>50</v>
      </c>
      <c r="M147" s="1"/>
      <c r="N147" s="14"/>
    </row>
    <row r="148" spans="1:14" x14ac:dyDescent="0.2">
      <c r="A148" s="28">
        <v>18816</v>
      </c>
      <c r="B148" s="1" t="s">
        <v>212</v>
      </c>
      <c r="C148" s="14" t="s">
        <v>279</v>
      </c>
      <c r="D148" s="1" t="s">
        <v>8</v>
      </c>
      <c r="E148" s="14" t="s">
        <v>135</v>
      </c>
      <c r="F148" s="2">
        <f t="shared" ca="1" si="23"/>
        <v>46065</v>
      </c>
      <c r="G148" s="2">
        <v>46051</v>
      </c>
      <c r="H148" s="2">
        <f t="shared" si="24"/>
        <v>46061</v>
      </c>
      <c r="I148" s="7" t="s">
        <v>87</v>
      </c>
      <c r="J148" s="19"/>
      <c r="K148" s="19"/>
      <c r="L148" s="19" t="s">
        <v>51</v>
      </c>
      <c r="M148" s="1"/>
      <c r="N148" s="14"/>
    </row>
    <row r="149" spans="1:14" x14ac:dyDescent="0.2">
      <c r="A149" s="28">
        <v>17520</v>
      </c>
      <c r="B149" s="1" t="s">
        <v>212</v>
      </c>
      <c r="C149" s="14" t="s">
        <v>280</v>
      </c>
      <c r="D149" s="1" t="s">
        <v>160</v>
      </c>
      <c r="E149" s="14" t="s">
        <v>161</v>
      </c>
      <c r="F149" s="2">
        <f t="shared" ca="1" si="23"/>
        <v>46065</v>
      </c>
      <c r="G149" s="2">
        <v>46051</v>
      </c>
      <c r="H149" s="2">
        <f t="shared" si="24"/>
        <v>46061</v>
      </c>
      <c r="I149" s="7" t="s">
        <v>87</v>
      </c>
      <c r="J149" s="19"/>
      <c r="K149" s="19"/>
      <c r="L149" s="19" t="s">
        <v>51</v>
      </c>
      <c r="M149" s="1"/>
      <c r="N149" s="14"/>
    </row>
    <row r="150" spans="1:14" x14ac:dyDescent="0.2">
      <c r="A150" s="28">
        <v>17784</v>
      </c>
      <c r="B150" s="1" t="s">
        <v>212</v>
      </c>
      <c r="C150" s="14" t="s">
        <v>282</v>
      </c>
      <c r="D150" s="1" t="s">
        <v>283</v>
      </c>
      <c r="E150" s="1" t="s">
        <v>98</v>
      </c>
      <c r="F150" s="2">
        <f t="shared" ca="1" si="23"/>
        <v>46065</v>
      </c>
      <c r="G150" s="2">
        <v>46051</v>
      </c>
      <c r="H150" s="2">
        <f t="shared" si="24"/>
        <v>46061</v>
      </c>
      <c r="I150" s="7" t="s">
        <v>87</v>
      </c>
      <c r="J150" s="19"/>
      <c r="K150" s="19"/>
      <c r="L150" s="19" t="s">
        <v>50</v>
      </c>
      <c r="M150" s="1"/>
      <c r="N150" s="14"/>
    </row>
    <row r="151" spans="1:14" x14ac:dyDescent="0.2">
      <c r="A151" s="28">
        <v>18833</v>
      </c>
      <c r="B151" s="1" t="s">
        <v>212</v>
      </c>
      <c r="C151" s="1" t="s">
        <v>288</v>
      </c>
      <c r="D151" s="1" t="s">
        <v>289</v>
      </c>
      <c r="E151" s="14" t="s">
        <v>281</v>
      </c>
      <c r="F151" s="2">
        <f t="shared" ca="1" si="23"/>
        <v>46065</v>
      </c>
      <c r="G151" s="2">
        <v>46051</v>
      </c>
      <c r="H151" s="2">
        <f t="shared" si="24"/>
        <v>46061</v>
      </c>
      <c r="I151" s="7" t="s">
        <v>87</v>
      </c>
      <c r="J151" s="19"/>
      <c r="K151" s="19"/>
      <c r="L151" s="19" t="s">
        <v>50</v>
      </c>
      <c r="M151" s="1"/>
      <c r="N151" s="14"/>
    </row>
    <row r="152" spans="1:14" x14ac:dyDescent="0.2">
      <c r="A152" s="28">
        <v>18832</v>
      </c>
      <c r="B152" s="1" t="s">
        <v>213</v>
      </c>
      <c r="C152" s="14">
        <v>12217</v>
      </c>
      <c r="D152" s="1" t="s">
        <v>289</v>
      </c>
      <c r="E152" s="14" t="s">
        <v>281</v>
      </c>
      <c r="F152" s="2">
        <f t="shared" ca="1" si="23"/>
        <v>46065</v>
      </c>
      <c r="G152" s="2">
        <v>46051</v>
      </c>
      <c r="H152" s="2">
        <f t="shared" si="24"/>
        <v>46061</v>
      </c>
      <c r="I152" s="7" t="s">
        <v>87</v>
      </c>
      <c r="J152" s="19"/>
      <c r="K152" s="19"/>
      <c r="L152" s="19" t="s">
        <v>50</v>
      </c>
      <c r="M152" s="1"/>
      <c r="N152" s="14"/>
    </row>
    <row r="153" spans="1:14" x14ac:dyDescent="0.2">
      <c r="A153" s="28">
        <v>12616</v>
      </c>
      <c r="B153" s="1" t="s">
        <v>212</v>
      </c>
      <c r="C153" s="14" t="s">
        <v>290</v>
      </c>
      <c r="D153" s="1" t="s">
        <v>291</v>
      </c>
      <c r="E153" s="1" t="s">
        <v>292</v>
      </c>
      <c r="F153" s="2">
        <f t="shared" ca="1" si="23"/>
        <v>46065</v>
      </c>
      <c r="G153" s="2">
        <v>46051</v>
      </c>
      <c r="H153" s="2">
        <f t="shared" si="24"/>
        <v>46061</v>
      </c>
      <c r="I153" s="7" t="s">
        <v>87</v>
      </c>
      <c r="J153" s="19" t="str">
        <f t="shared" ref="J153" ca="1" si="25">IF(TODAY()&gt;H153, "ACTION NEEDED", "NO ACTION NEEDED")</f>
        <v>ACTION NEEDED</v>
      </c>
      <c r="K153" s="19" t="str">
        <f>IF(F261&gt;=E261,"On Time","Order Still Needed?")</f>
        <v>On Time</v>
      </c>
      <c r="L153" s="1"/>
      <c r="M153" s="1"/>
      <c r="N153" s="14"/>
    </row>
    <row r="154" spans="1:14" x14ac:dyDescent="0.2">
      <c r="A154" s="38">
        <v>18580</v>
      </c>
      <c r="B154" s="37" t="s">
        <v>212</v>
      </c>
      <c r="C154" s="37" t="s">
        <v>343</v>
      </c>
      <c r="D154" s="37" t="s">
        <v>19</v>
      </c>
      <c r="E154" s="37" t="s">
        <v>59</v>
      </c>
      <c r="F154" s="2">
        <f t="shared" ca="1" si="23"/>
        <v>46065</v>
      </c>
      <c r="G154" s="2">
        <v>46051</v>
      </c>
      <c r="H154" s="2">
        <f t="shared" ref="H154" si="26">G154 + 10</f>
        <v>46061</v>
      </c>
      <c r="I154" s="7" t="s">
        <v>87</v>
      </c>
      <c r="J154" s="19"/>
      <c r="K154" s="19"/>
      <c r="L154" s="19" t="s">
        <v>50</v>
      </c>
      <c r="M154" s="1"/>
      <c r="N154" s="14"/>
    </row>
  </sheetData>
  <autoFilter ref="A1:N1" xr:uid="{5ACA3883-E6E5-154E-996C-DD571A286431}"/>
  <conditionalFormatting sqref="C2:C60 C62:C121 C123:C1048576 N130:N154">
    <cfRule type="duplicateValues" dxfId="63" priority="146"/>
  </conditionalFormatting>
  <conditionalFormatting sqref="J1:J1048576">
    <cfRule type="containsText" dxfId="62" priority="117" operator="containsText" text="NO ACTION NEEDED">
      <formula>NOT(ISERROR(SEARCH("NO ACTION NEEDED",J1)))</formula>
    </cfRule>
    <cfRule type="containsText" dxfId="61" priority="118" operator="containsText" text="ACTION NEEDED">
      <formula>NOT(ISERROR(SEARCH("ACTION NEEDED",J1)))</formula>
    </cfRule>
  </conditionalFormatting>
  <conditionalFormatting sqref="J116:K153">
    <cfRule type="cellIs" dxfId="60" priority="123" operator="equal">
      <formula>"Patricia"</formula>
    </cfRule>
    <cfRule type="cellIs" dxfId="59" priority="124" operator="equal">
      <formula>"Maria"</formula>
    </cfRule>
  </conditionalFormatting>
  <conditionalFormatting sqref="K1:K1048576">
    <cfRule type="containsText" dxfId="58" priority="115" operator="containsText" text="Order Still Needed">
      <formula>NOT(ISERROR(SEARCH("Order Still Needed",K1)))</formula>
    </cfRule>
    <cfRule type="containsText" dxfId="57" priority="116" operator="containsText" text="On Time">
      <formula>NOT(ISERROR(SEARCH("On Time",K1)))</formula>
    </cfRule>
  </conditionalFormatting>
  <conditionalFormatting sqref="L1:L136">
    <cfRule type="containsText" dxfId="56" priority="27" operator="containsText" text="RETURNS">
      <formula>NOT(ISERROR(SEARCH("RETURNS",L1)))</formula>
    </cfRule>
    <cfRule type="containsText" dxfId="55" priority="28" operator="containsText" text="Patricia">
      <formula>NOT(ISERROR(SEARCH("Patricia",L1)))</formula>
    </cfRule>
    <cfRule type="containsText" dxfId="54" priority="29" operator="containsText" text="Maria">
      <formula>NOT(ISERROR(SEARCH("Maria",L1)))</formula>
    </cfRule>
  </conditionalFormatting>
  <conditionalFormatting sqref="L141:L152">
    <cfRule type="containsText" dxfId="53" priority="6" operator="containsText" text="RETURNS">
      <formula>NOT(ISERROR(SEARCH("RETURNS",L141)))</formula>
    </cfRule>
    <cfRule type="containsText" dxfId="52" priority="7" operator="containsText" text="Patricia">
      <formula>NOT(ISERROR(SEARCH("Patricia",L141)))</formula>
    </cfRule>
    <cfRule type="containsText" dxfId="51" priority="8" operator="containsText" text="Maria">
      <formula>NOT(ISERROR(SEARCH("Maria",L141)))</formula>
    </cfRule>
  </conditionalFormatting>
  <conditionalFormatting sqref="L155:L1048576">
    <cfRule type="containsText" dxfId="50" priority="119" operator="containsText" text="RETURNS">
      <formula>NOT(ISERROR(SEARCH("RETURNS",L155)))</formula>
    </cfRule>
    <cfRule type="containsText" dxfId="49" priority="121" operator="containsText" text="Patricia">
      <formula>NOT(ISERROR(SEARCH("Patricia",L155)))</formula>
    </cfRule>
    <cfRule type="containsText" dxfId="48" priority="122" operator="containsText" text="Maria">
      <formula>NOT(ISERROR(SEARCH("Maria",L155)))</formula>
    </cfRule>
  </conditionalFormatting>
  <conditionalFormatting sqref="J154:K154">
    <cfRule type="cellIs" dxfId="4" priority="4" operator="equal">
      <formula>"Patricia"</formula>
    </cfRule>
    <cfRule type="cellIs" dxfId="3" priority="5" operator="equal">
      <formula>"Maria"</formula>
    </cfRule>
  </conditionalFormatting>
  <conditionalFormatting sqref="L154">
    <cfRule type="containsText" dxfId="2" priority="1" operator="containsText" text="RETURNS">
      <formula>NOT(ISERROR(SEARCH("RETURNS",L154)))</formula>
    </cfRule>
    <cfRule type="containsText" dxfId="1" priority="2" operator="containsText" text="Patricia">
      <formula>NOT(ISERROR(SEARCH("Patricia",L154)))</formula>
    </cfRule>
    <cfRule type="containsText" dxfId="0" priority="3" operator="containsText" text="Maria">
      <formula>NOT(ISERROR(SEARCH("Maria",L154)))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4BDB-D1B1-754E-9D2D-4AF183D21447}">
  <dimension ref="A1:N98"/>
  <sheetViews>
    <sheetView workbookViewId="0">
      <selection activeCell="C22" sqref="C22"/>
    </sheetView>
  </sheetViews>
  <sheetFormatPr baseColWidth="10" defaultColWidth="8.83203125" defaultRowHeight="16" x14ac:dyDescent="0.2"/>
  <cols>
    <col min="1" max="1" width="8.83203125" customWidth="1"/>
    <col min="2" max="2" width="17.33203125" customWidth="1"/>
    <col min="3" max="3" width="24.6640625" customWidth="1"/>
    <col min="4" max="4" width="30.33203125" customWidth="1"/>
    <col min="5" max="5" width="31.1640625" customWidth="1"/>
    <col min="6" max="6" width="18.5" customWidth="1"/>
    <col min="7" max="7" width="20.33203125" customWidth="1"/>
    <col min="8" max="8" width="17.5" customWidth="1"/>
    <col min="9" max="9" width="18.33203125" customWidth="1"/>
    <col min="10" max="10" width="23.83203125" customWidth="1"/>
    <col min="11" max="11" width="15.1640625" customWidth="1"/>
    <col min="12" max="12" width="20" customWidth="1"/>
    <col min="13" max="13" width="19.6640625" customWidth="1"/>
    <col min="14" max="14" width="12.5" customWidth="1"/>
  </cols>
  <sheetData>
    <row r="1" spans="1:14" ht="20" thickBot="1" x14ac:dyDescent="0.25">
      <c r="A1" s="26" t="s">
        <v>213</v>
      </c>
      <c r="B1" s="26" t="s">
        <v>284</v>
      </c>
      <c r="C1" s="26" t="s">
        <v>285</v>
      </c>
      <c r="D1" s="26" t="s">
        <v>286</v>
      </c>
      <c r="E1" s="26" t="s">
        <v>287</v>
      </c>
      <c r="F1" s="26" t="s">
        <v>0</v>
      </c>
      <c r="G1" s="26" t="s">
        <v>1</v>
      </c>
      <c r="H1" s="26" t="s">
        <v>2</v>
      </c>
      <c r="I1" s="26" t="s">
        <v>3</v>
      </c>
      <c r="J1" s="26" t="s">
        <v>4</v>
      </c>
      <c r="K1" s="26" t="s">
        <v>5</v>
      </c>
      <c r="L1" s="26" t="s">
        <v>11</v>
      </c>
      <c r="M1" s="26" t="s">
        <v>12</v>
      </c>
      <c r="N1" s="27" t="s">
        <v>6</v>
      </c>
    </row>
    <row r="2" spans="1:14" x14ac:dyDescent="0.2">
      <c r="A2" s="28">
        <v>18816</v>
      </c>
      <c r="B2" s="33" t="s">
        <v>213</v>
      </c>
      <c r="C2" s="33">
        <v>12207</v>
      </c>
      <c r="D2" s="33" t="s">
        <v>273</v>
      </c>
      <c r="E2" s="33" t="s">
        <v>161</v>
      </c>
      <c r="F2" s="34">
        <f t="shared" ref="F2:F16" ca="1" si="0">TODAY()</f>
        <v>46065</v>
      </c>
      <c r="G2" s="34">
        <v>46055</v>
      </c>
      <c r="H2" s="34">
        <f>G2+10</f>
        <v>46065</v>
      </c>
      <c r="I2" s="33" t="s">
        <v>17</v>
      </c>
      <c r="J2" s="19"/>
      <c r="K2" s="19"/>
      <c r="L2" s="19" t="s">
        <v>50</v>
      </c>
      <c r="M2" s="33" t="s">
        <v>274</v>
      </c>
      <c r="N2" s="35">
        <v>0.30208333333333331</v>
      </c>
    </row>
    <row r="3" spans="1:14" x14ac:dyDescent="0.2">
      <c r="A3" s="28">
        <v>18816</v>
      </c>
      <c r="B3" s="1" t="s">
        <v>212</v>
      </c>
      <c r="C3" s="1" t="s">
        <v>279</v>
      </c>
      <c r="D3" s="1" t="s">
        <v>289</v>
      </c>
      <c r="E3" s="1" t="s">
        <v>135</v>
      </c>
      <c r="F3" s="2">
        <f t="shared" ca="1" si="0"/>
        <v>46065</v>
      </c>
      <c r="G3" s="2">
        <v>46051</v>
      </c>
      <c r="H3" s="2">
        <f t="shared" ref="H3:H16" si="1">G3 + 10</f>
        <v>46061</v>
      </c>
      <c r="I3" s="7" t="s">
        <v>87</v>
      </c>
      <c r="J3" s="19"/>
      <c r="K3" s="19"/>
      <c r="L3" s="19" t="s">
        <v>51</v>
      </c>
      <c r="M3" s="1"/>
      <c r="N3" s="1"/>
    </row>
    <row r="4" spans="1:14" x14ac:dyDescent="0.2">
      <c r="A4" s="28">
        <v>17520</v>
      </c>
      <c r="B4" s="1" t="s">
        <v>214</v>
      </c>
      <c r="C4" s="1" t="s">
        <v>280</v>
      </c>
      <c r="D4" s="1" t="s">
        <v>160</v>
      </c>
      <c r="E4" s="1" t="s">
        <v>161</v>
      </c>
      <c r="F4" s="2">
        <f t="shared" ca="1" si="0"/>
        <v>46065</v>
      </c>
      <c r="G4" s="2">
        <v>46051</v>
      </c>
      <c r="H4" s="2">
        <f t="shared" si="1"/>
        <v>46061</v>
      </c>
      <c r="I4" s="7" t="s">
        <v>87</v>
      </c>
      <c r="J4" s="19"/>
      <c r="K4" s="19"/>
      <c r="L4" s="19" t="s">
        <v>51</v>
      </c>
      <c r="M4" s="1"/>
      <c r="N4" s="1"/>
    </row>
    <row r="5" spans="1:14" x14ac:dyDescent="0.2">
      <c r="A5" s="28">
        <v>17784</v>
      </c>
      <c r="B5" s="1" t="s">
        <v>212</v>
      </c>
      <c r="C5" s="1" t="s">
        <v>282</v>
      </c>
      <c r="D5" s="1" t="s">
        <v>283</v>
      </c>
      <c r="E5" s="1" t="s">
        <v>98</v>
      </c>
      <c r="F5" s="2">
        <f t="shared" ca="1" si="0"/>
        <v>46065</v>
      </c>
      <c r="G5" s="2">
        <v>46051</v>
      </c>
      <c r="H5" s="2">
        <f t="shared" si="1"/>
        <v>46061</v>
      </c>
      <c r="I5" s="7" t="s">
        <v>87</v>
      </c>
      <c r="J5" s="19"/>
      <c r="K5" s="19"/>
      <c r="L5" s="19" t="s">
        <v>50</v>
      </c>
      <c r="M5" s="1"/>
      <c r="N5" s="1"/>
    </row>
    <row r="6" spans="1:14" x14ac:dyDescent="0.2">
      <c r="A6" s="28">
        <v>12616</v>
      </c>
      <c r="B6" s="1" t="s">
        <v>212</v>
      </c>
      <c r="C6" s="1" t="s">
        <v>290</v>
      </c>
      <c r="D6" s="1" t="s">
        <v>291</v>
      </c>
      <c r="E6" s="1" t="s">
        <v>292</v>
      </c>
      <c r="F6" s="2">
        <f t="shared" ca="1" si="0"/>
        <v>46065</v>
      </c>
      <c r="G6" s="2">
        <v>46051</v>
      </c>
      <c r="H6" s="2">
        <f t="shared" si="1"/>
        <v>46061</v>
      </c>
      <c r="I6" s="7" t="s">
        <v>87</v>
      </c>
      <c r="J6" s="19" t="str">
        <f t="shared" ref="J6:J16" ca="1" si="2">IF(TODAY()&gt;H6, "ACTION NEEDED", "NO ACTION NEEDED")</f>
        <v>ACTION NEEDED</v>
      </c>
      <c r="K6" s="19" t="str">
        <f t="shared" ref="K6:K16" si="3">IF(F116&gt;=E116,"On Time","Order Still Needed?")</f>
        <v>On Time</v>
      </c>
      <c r="L6" s="1"/>
      <c r="M6" s="1" t="s">
        <v>293</v>
      </c>
      <c r="N6" s="36">
        <v>0.38263888888888886</v>
      </c>
    </row>
    <row r="7" spans="1:14" x14ac:dyDescent="0.2">
      <c r="A7" s="28">
        <v>18847</v>
      </c>
      <c r="B7" s="25" t="s">
        <v>212</v>
      </c>
      <c r="C7" s="25" t="s">
        <v>294</v>
      </c>
      <c r="D7" s="1" t="s">
        <v>289</v>
      </c>
      <c r="E7" s="25" t="s">
        <v>295</v>
      </c>
      <c r="F7" s="2">
        <f t="shared" ca="1" si="0"/>
        <v>46065</v>
      </c>
      <c r="G7" s="2">
        <v>46051</v>
      </c>
      <c r="H7" s="2">
        <f t="shared" si="1"/>
        <v>46061</v>
      </c>
      <c r="I7" s="7" t="s">
        <v>87</v>
      </c>
      <c r="J7" s="19"/>
      <c r="K7" s="19"/>
      <c r="L7" s="19" t="s">
        <v>50</v>
      </c>
      <c r="M7" s="3"/>
      <c r="N7" s="3"/>
    </row>
    <row r="8" spans="1:14" x14ac:dyDescent="0.2">
      <c r="A8" s="28">
        <v>18852</v>
      </c>
      <c r="B8" s="25" t="s">
        <v>213</v>
      </c>
      <c r="C8" s="25">
        <v>12220</v>
      </c>
      <c r="D8" s="25" t="s">
        <v>261</v>
      </c>
      <c r="E8" s="25" t="s">
        <v>209</v>
      </c>
      <c r="F8" s="2">
        <f t="shared" ca="1" si="0"/>
        <v>46065</v>
      </c>
      <c r="G8" s="2">
        <v>46051</v>
      </c>
      <c r="H8" s="2">
        <f t="shared" si="1"/>
        <v>46061</v>
      </c>
      <c r="I8" s="7" t="s">
        <v>87</v>
      </c>
      <c r="J8" s="19"/>
      <c r="K8" s="19"/>
      <c r="L8" s="19" t="s">
        <v>50</v>
      </c>
      <c r="M8" s="3"/>
      <c r="N8" s="3"/>
    </row>
    <row r="9" spans="1:14" x14ac:dyDescent="0.2">
      <c r="A9" s="28">
        <v>18788</v>
      </c>
      <c r="B9" s="25" t="s">
        <v>212</v>
      </c>
      <c r="C9" s="25" t="s">
        <v>296</v>
      </c>
      <c r="D9" s="25" t="s">
        <v>261</v>
      </c>
      <c r="E9" s="25" t="s">
        <v>209</v>
      </c>
      <c r="F9" s="2">
        <f t="shared" ca="1" si="0"/>
        <v>46065</v>
      </c>
      <c r="G9" s="2">
        <v>46051</v>
      </c>
      <c r="H9" s="2">
        <f t="shared" si="1"/>
        <v>46061</v>
      </c>
      <c r="I9" s="7" t="s">
        <v>87</v>
      </c>
      <c r="J9" s="19"/>
      <c r="K9" s="19"/>
      <c r="L9" s="19" t="s">
        <v>51</v>
      </c>
      <c r="M9" s="3"/>
      <c r="N9" s="3"/>
    </row>
    <row r="10" spans="1:14" x14ac:dyDescent="0.2">
      <c r="A10" s="28">
        <v>7093</v>
      </c>
      <c r="B10" s="33" t="s">
        <v>214</v>
      </c>
      <c r="C10" s="33" t="s">
        <v>319</v>
      </c>
      <c r="D10" s="33" t="s">
        <v>289</v>
      </c>
      <c r="E10" s="33" t="s">
        <v>297</v>
      </c>
      <c r="F10" s="34">
        <f t="shared" ca="1" si="0"/>
        <v>46065</v>
      </c>
      <c r="G10" s="34">
        <v>46051</v>
      </c>
      <c r="H10" s="34">
        <f t="shared" si="1"/>
        <v>46061</v>
      </c>
      <c r="I10" s="33" t="s">
        <v>17</v>
      </c>
      <c r="J10" s="19"/>
      <c r="K10" s="19"/>
      <c r="L10" s="21" t="s">
        <v>204</v>
      </c>
      <c r="M10" s="33" t="s">
        <v>300</v>
      </c>
      <c r="N10" s="35">
        <v>0.3611111111111111</v>
      </c>
    </row>
    <row r="11" spans="1:14" x14ac:dyDescent="0.2">
      <c r="A11" s="28">
        <v>7091</v>
      </c>
      <c r="B11" s="33" t="s">
        <v>214</v>
      </c>
      <c r="C11" s="33" t="s">
        <v>298</v>
      </c>
      <c r="D11" s="33" t="s">
        <v>289</v>
      </c>
      <c r="E11" s="33" t="s">
        <v>297</v>
      </c>
      <c r="F11" s="34">
        <f t="shared" ca="1" si="0"/>
        <v>46065</v>
      </c>
      <c r="G11" s="34">
        <v>46051</v>
      </c>
      <c r="H11" s="34">
        <f t="shared" si="1"/>
        <v>46061</v>
      </c>
      <c r="I11" s="33" t="s">
        <v>17</v>
      </c>
      <c r="J11" s="19"/>
      <c r="K11" s="19"/>
      <c r="L11" s="19" t="s">
        <v>51</v>
      </c>
      <c r="M11" s="33" t="s">
        <v>300</v>
      </c>
      <c r="N11" s="35">
        <v>0.40277777777777801</v>
      </c>
    </row>
    <row r="12" spans="1:14" x14ac:dyDescent="0.2">
      <c r="A12" s="28">
        <v>6787</v>
      </c>
      <c r="B12" s="33" t="s">
        <v>214</v>
      </c>
      <c r="C12" s="33" t="s">
        <v>299</v>
      </c>
      <c r="D12" s="33" t="s">
        <v>289</v>
      </c>
      <c r="E12" s="33" t="s">
        <v>297</v>
      </c>
      <c r="F12" s="34">
        <f t="shared" ca="1" si="0"/>
        <v>46065</v>
      </c>
      <c r="G12" s="34">
        <v>46051</v>
      </c>
      <c r="H12" s="34">
        <f t="shared" si="1"/>
        <v>46061</v>
      </c>
      <c r="I12" s="33" t="s">
        <v>17</v>
      </c>
      <c r="J12" s="19"/>
      <c r="K12" s="19"/>
      <c r="L12" s="19" t="s">
        <v>51</v>
      </c>
      <c r="M12" s="33" t="s">
        <v>300</v>
      </c>
      <c r="N12" s="35">
        <v>0.44444444444444398</v>
      </c>
    </row>
    <row r="13" spans="1:14" x14ac:dyDescent="0.2">
      <c r="A13" s="28">
        <v>18118</v>
      </c>
      <c r="B13" s="25" t="s">
        <v>212</v>
      </c>
      <c r="C13" s="25" t="s">
        <v>301</v>
      </c>
      <c r="D13" s="33" t="s">
        <v>289</v>
      </c>
      <c r="E13" s="25" t="s">
        <v>148</v>
      </c>
      <c r="F13" s="34">
        <f t="shared" ca="1" si="0"/>
        <v>46065</v>
      </c>
      <c r="G13" s="34">
        <v>46051</v>
      </c>
      <c r="H13" s="34">
        <f t="shared" si="1"/>
        <v>46061</v>
      </c>
      <c r="I13" s="33" t="s">
        <v>302</v>
      </c>
      <c r="J13" s="19"/>
      <c r="K13" s="19"/>
      <c r="L13" s="19" t="s">
        <v>51</v>
      </c>
      <c r="M13" s="3"/>
      <c r="N13" s="3"/>
    </row>
    <row r="14" spans="1:14" x14ac:dyDescent="0.2">
      <c r="A14" s="28">
        <v>18776</v>
      </c>
      <c r="B14" s="25" t="s">
        <v>213</v>
      </c>
      <c r="C14" s="25">
        <v>12231</v>
      </c>
      <c r="D14" s="33" t="s">
        <v>289</v>
      </c>
      <c r="E14" s="25" t="s">
        <v>148</v>
      </c>
      <c r="F14" s="34">
        <f t="shared" ca="1" si="0"/>
        <v>46065</v>
      </c>
      <c r="G14" s="34">
        <v>46051</v>
      </c>
      <c r="H14" s="34">
        <f t="shared" si="1"/>
        <v>46061</v>
      </c>
      <c r="I14" s="33" t="s">
        <v>302</v>
      </c>
      <c r="J14" s="19"/>
      <c r="K14" s="19"/>
      <c r="L14" s="19" t="s">
        <v>50</v>
      </c>
      <c r="M14" s="3"/>
      <c r="N14" s="3"/>
    </row>
    <row r="15" spans="1:14" x14ac:dyDescent="0.2">
      <c r="A15" s="28">
        <v>18788</v>
      </c>
      <c r="B15" s="25" t="s">
        <v>212</v>
      </c>
      <c r="C15" s="25" t="s">
        <v>303</v>
      </c>
      <c r="D15" s="25" t="s">
        <v>261</v>
      </c>
      <c r="E15" s="25" t="s">
        <v>209</v>
      </c>
      <c r="F15" s="34">
        <f t="shared" ca="1" si="0"/>
        <v>46065</v>
      </c>
      <c r="G15" s="34">
        <v>46051</v>
      </c>
      <c r="H15" s="34">
        <f t="shared" si="1"/>
        <v>46061</v>
      </c>
      <c r="I15" s="33" t="s">
        <v>267</v>
      </c>
      <c r="J15" s="19"/>
      <c r="K15" s="19"/>
      <c r="L15" s="19" t="s">
        <v>51</v>
      </c>
      <c r="M15" s="3"/>
      <c r="N15" s="3"/>
    </row>
    <row r="16" spans="1:14" x14ac:dyDescent="0.2">
      <c r="A16" s="28">
        <v>18858</v>
      </c>
      <c r="B16" s="25" t="s">
        <v>213</v>
      </c>
      <c r="C16" s="25">
        <v>12237</v>
      </c>
      <c r="D16" s="3" t="s">
        <v>304</v>
      </c>
      <c r="E16" s="25" t="s">
        <v>305</v>
      </c>
      <c r="F16" s="34">
        <f t="shared" ca="1" si="0"/>
        <v>46065</v>
      </c>
      <c r="G16" s="34">
        <v>46051</v>
      </c>
      <c r="H16" s="34">
        <f t="shared" si="1"/>
        <v>46061</v>
      </c>
      <c r="I16" s="33" t="s">
        <v>267</v>
      </c>
      <c r="J16" s="19" t="str">
        <f t="shared" ca="1" si="2"/>
        <v>ACTION NEEDED</v>
      </c>
      <c r="K16" s="19" t="str">
        <f t="shared" si="3"/>
        <v>On Time</v>
      </c>
      <c r="L16" s="3"/>
      <c r="M16" s="3"/>
      <c r="N16" s="3"/>
    </row>
    <row r="17" spans="1:14" x14ac:dyDescent="0.2">
      <c r="A17" s="28">
        <v>18866</v>
      </c>
      <c r="B17" s="25" t="s">
        <v>212</v>
      </c>
      <c r="C17" s="25" t="s">
        <v>306</v>
      </c>
      <c r="D17" s="3" t="s">
        <v>308</v>
      </c>
      <c r="E17" s="25" t="s">
        <v>307</v>
      </c>
      <c r="F17" s="34">
        <f t="shared" ref="F17:F31" ca="1" si="4">TODAY()</f>
        <v>46065</v>
      </c>
      <c r="G17" s="34">
        <v>46051</v>
      </c>
      <c r="H17" s="34">
        <f t="shared" ref="H17" si="5">G17 + 10</f>
        <v>46061</v>
      </c>
      <c r="I17" s="33" t="s">
        <v>267</v>
      </c>
      <c r="J17" s="19"/>
      <c r="K17" s="19"/>
      <c r="L17" s="19" t="s">
        <v>50</v>
      </c>
      <c r="M17" s="3"/>
      <c r="N17" s="3"/>
    </row>
    <row r="18" spans="1:14" x14ac:dyDescent="0.2">
      <c r="A18" s="28">
        <v>18838</v>
      </c>
      <c r="B18" s="25" t="s">
        <v>212</v>
      </c>
      <c r="C18" s="25" t="s">
        <v>309</v>
      </c>
      <c r="D18" s="1" t="s">
        <v>289</v>
      </c>
      <c r="E18" s="25" t="s">
        <v>277</v>
      </c>
      <c r="F18" s="34">
        <f t="shared" ca="1" si="4"/>
        <v>46065</v>
      </c>
      <c r="G18" s="34">
        <v>46051</v>
      </c>
      <c r="H18" s="34">
        <f t="shared" ref="H18" si="6">G18 + 10</f>
        <v>46061</v>
      </c>
      <c r="I18" s="33" t="s">
        <v>267</v>
      </c>
      <c r="J18" s="19"/>
      <c r="K18" s="19"/>
      <c r="L18" s="19" t="s">
        <v>51</v>
      </c>
      <c r="M18" s="3"/>
      <c r="N18" s="3"/>
    </row>
    <row r="19" spans="1:14" x14ac:dyDescent="0.2">
      <c r="A19" s="28">
        <v>18875</v>
      </c>
      <c r="B19" s="25" t="s">
        <v>213</v>
      </c>
      <c r="C19" s="25">
        <v>12250</v>
      </c>
      <c r="D19" s="25" t="s">
        <v>310</v>
      </c>
      <c r="E19" s="25" t="s">
        <v>311</v>
      </c>
      <c r="F19" s="34">
        <f t="shared" ca="1" si="4"/>
        <v>46065</v>
      </c>
      <c r="G19" s="34">
        <v>46051</v>
      </c>
      <c r="H19" s="34">
        <f t="shared" ref="H19" si="7">G19 + 10</f>
        <v>46061</v>
      </c>
      <c r="I19" s="33" t="s">
        <v>267</v>
      </c>
      <c r="J19" s="19"/>
      <c r="K19" s="19"/>
      <c r="L19" s="19" t="s">
        <v>50</v>
      </c>
      <c r="M19" s="3"/>
      <c r="N19" s="3"/>
    </row>
    <row r="20" spans="1:14" x14ac:dyDescent="0.2">
      <c r="A20" s="28">
        <v>18876</v>
      </c>
      <c r="B20" s="25" t="s">
        <v>212</v>
      </c>
      <c r="C20" s="25" t="s">
        <v>312</v>
      </c>
      <c r="D20" s="25" t="s">
        <v>261</v>
      </c>
      <c r="E20" s="25" t="s">
        <v>268</v>
      </c>
      <c r="F20" s="34">
        <f t="shared" ca="1" si="4"/>
        <v>46065</v>
      </c>
      <c r="G20" s="34">
        <v>46051</v>
      </c>
      <c r="H20" s="34">
        <f t="shared" ref="H20" si="8">G20 + 10</f>
        <v>46061</v>
      </c>
      <c r="I20" s="33" t="s">
        <v>267</v>
      </c>
      <c r="J20" s="19" t="str">
        <f t="shared" ref="J20" ca="1" si="9">IF(TODAY()&gt;H20, "ACTION NEEDED", "NO ACTION NEEDED")</f>
        <v>ACTION NEEDED</v>
      </c>
      <c r="K20" s="19" t="str">
        <f t="shared" ref="K20" si="10">IF(F130&gt;=E130,"On Time","Order Still Needed?")</f>
        <v>On Time</v>
      </c>
      <c r="L20" s="3"/>
      <c r="M20" s="3"/>
      <c r="N20" s="3"/>
    </row>
    <row r="21" spans="1:14" x14ac:dyDescent="0.2">
      <c r="A21" s="28">
        <v>18873</v>
      </c>
      <c r="B21" s="25" t="s">
        <v>213</v>
      </c>
      <c r="C21" s="25">
        <v>12249</v>
      </c>
      <c r="D21" s="25" t="s">
        <v>313</v>
      </c>
      <c r="E21" s="25" t="s">
        <v>314</v>
      </c>
      <c r="F21" s="34">
        <f t="shared" ca="1" si="4"/>
        <v>46065</v>
      </c>
      <c r="G21" s="34">
        <v>46051</v>
      </c>
      <c r="H21" s="34">
        <f t="shared" ref="H21" si="11">G21 + 10</f>
        <v>46061</v>
      </c>
      <c r="I21" s="33" t="s">
        <v>267</v>
      </c>
      <c r="J21" s="19" t="str">
        <f t="shared" ref="J21" ca="1" si="12">IF(TODAY()&gt;H21, "ACTION NEEDED", "NO ACTION NEEDED")</f>
        <v>ACTION NEEDED</v>
      </c>
      <c r="K21" s="19" t="str">
        <f t="shared" ref="K21" si="13">IF(F131&gt;=E131,"On Time","Order Still Needed?")</f>
        <v>On Time</v>
      </c>
      <c r="L21" s="3"/>
      <c r="M21" s="3"/>
      <c r="N21" s="3"/>
    </row>
    <row r="22" spans="1:14" x14ac:dyDescent="0.2">
      <c r="A22" s="28">
        <v>18833</v>
      </c>
      <c r="B22" s="25" t="s">
        <v>212</v>
      </c>
      <c r="C22" s="25" t="s">
        <v>315</v>
      </c>
      <c r="D22" s="1" t="s">
        <v>289</v>
      </c>
      <c r="E22" s="25" t="s">
        <v>281</v>
      </c>
      <c r="F22" s="34">
        <f t="shared" ca="1" si="4"/>
        <v>46065</v>
      </c>
      <c r="G22" s="34">
        <v>46051</v>
      </c>
      <c r="H22" s="34">
        <f t="shared" ref="H22" si="14">G22 + 10</f>
        <v>46061</v>
      </c>
      <c r="I22" s="33" t="s">
        <v>267</v>
      </c>
      <c r="J22" s="19" t="str">
        <f t="shared" ref="J22" ca="1" si="15">IF(TODAY()&gt;H22, "ACTION NEEDED", "NO ACTION NEEDED")</f>
        <v>ACTION NEEDED</v>
      </c>
      <c r="K22" s="19" t="str">
        <f t="shared" ref="K22" si="16">IF(F132&gt;=E132,"On Time","Order Still Needed?")</f>
        <v>On Time</v>
      </c>
      <c r="L22" s="3"/>
      <c r="M22" s="3"/>
      <c r="N22" s="3"/>
    </row>
    <row r="23" spans="1:14" x14ac:dyDescent="0.2">
      <c r="A23" s="28">
        <v>16853</v>
      </c>
      <c r="B23" s="25" t="s">
        <v>212</v>
      </c>
      <c r="C23" s="25" t="s">
        <v>316</v>
      </c>
      <c r="D23" s="1" t="s">
        <v>289</v>
      </c>
      <c r="E23" s="25" t="s">
        <v>317</v>
      </c>
      <c r="F23" s="34">
        <f t="shared" ca="1" si="4"/>
        <v>46065</v>
      </c>
      <c r="G23" s="34">
        <v>46051</v>
      </c>
      <c r="H23" s="34">
        <f t="shared" ref="H23" si="17">G23 + 10</f>
        <v>46061</v>
      </c>
      <c r="I23" s="33" t="s">
        <v>267</v>
      </c>
      <c r="J23" s="19" t="str">
        <f t="shared" ref="J23" ca="1" si="18">IF(TODAY()&gt;H23, "ACTION NEEDED", "NO ACTION NEEDED")</f>
        <v>ACTION NEEDED</v>
      </c>
      <c r="K23" s="19" t="str">
        <f t="shared" ref="K23" si="19">IF(F133&gt;=E133,"On Time","Order Still Needed?")</f>
        <v>On Time</v>
      </c>
      <c r="L23" s="3"/>
      <c r="M23" s="3"/>
      <c r="N23" s="3"/>
    </row>
    <row r="24" spans="1:14" x14ac:dyDescent="0.2">
      <c r="A24" s="28">
        <v>18879</v>
      </c>
      <c r="B24" s="25" t="s">
        <v>213</v>
      </c>
      <c r="C24" s="25">
        <v>12254</v>
      </c>
      <c r="D24" s="25" t="s">
        <v>320</v>
      </c>
      <c r="E24" s="25" t="s">
        <v>85</v>
      </c>
      <c r="F24" s="34">
        <f t="shared" ca="1" si="4"/>
        <v>46065</v>
      </c>
      <c r="G24" s="34">
        <v>46051</v>
      </c>
      <c r="H24" s="34">
        <f t="shared" ref="H24" si="20">G24 + 10</f>
        <v>46061</v>
      </c>
      <c r="I24" s="33" t="s">
        <v>267</v>
      </c>
      <c r="J24" s="19" t="str">
        <f t="shared" ref="J24" ca="1" si="21">IF(TODAY()&gt;H24, "ACTION NEEDED", "NO ACTION NEEDED")</f>
        <v>ACTION NEEDED</v>
      </c>
      <c r="K24" s="19" t="str">
        <f t="shared" ref="K24" si="22">IF(F134&gt;=E134,"On Time","Order Still Needed?")</f>
        <v>On Time</v>
      </c>
      <c r="L24" s="3"/>
      <c r="M24" s="3"/>
      <c r="N24" s="3"/>
    </row>
    <row r="25" spans="1:14" x14ac:dyDescent="0.2">
      <c r="A25" s="28">
        <v>18883</v>
      </c>
      <c r="B25" s="25" t="s">
        <v>213</v>
      </c>
      <c r="C25" s="25">
        <v>12255</v>
      </c>
      <c r="D25" s="25" t="s">
        <v>321</v>
      </c>
      <c r="E25" s="25" t="s">
        <v>322</v>
      </c>
      <c r="F25" s="34">
        <f t="shared" ca="1" si="4"/>
        <v>46065</v>
      </c>
      <c r="G25" s="34">
        <v>46051</v>
      </c>
      <c r="H25" s="34">
        <f t="shared" ref="H25" si="23">G25 + 10</f>
        <v>46061</v>
      </c>
      <c r="I25" s="33" t="s">
        <v>267</v>
      </c>
      <c r="J25" s="19" t="str">
        <f t="shared" ref="J25" ca="1" si="24">IF(TODAY()&gt;H25, "ACTION NEEDED", "NO ACTION NEEDED")</f>
        <v>ACTION NEEDED</v>
      </c>
      <c r="K25" s="19" t="str">
        <f t="shared" ref="K25" si="25">IF(F135&gt;=E135,"On Time","Order Still Needed?")</f>
        <v>On Time</v>
      </c>
      <c r="L25" s="3"/>
      <c r="M25" s="3"/>
      <c r="N25" s="3"/>
    </row>
    <row r="26" spans="1:14" x14ac:dyDescent="0.2">
      <c r="A26" s="28">
        <v>18884</v>
      </c>
      <c r="B26" s="25" t="s">
        <v>213</v>
      </c>
      <c r="C26" s="25">
        <v>12256</v>
      </c>
      <c r="D26" s="3" t="s">
        <v>323</v>
      </c>
      <c r="E26" s="25" t="s">
        <v>324</v>
      </c>
      <c r="F26" s="34">
        <f t="shared" ca="1" si="4"/>
        <v>46065</v>
      </c>
      <c r="G26" s="34">
        <v>46051</v>
      </c>
      <c r="H26" s="34">
        <f t="shared" ref="H26" si="26">G26 + 10</f>
        <v>46061</v>
      </c>
      <c r="I26" s="33" t="s">
        <v>267</v>
      </c>
      <c r="J26" s="19" t="str">
        <f t="shared" ref="J26" ca="1" si="27">IF(TODAY()&gt;H26, "ACTION NEEDED", "NO ACTION NEEDED")</f>
        <v>ACTION NEEDED</v>
      </c>
      <c r="K26" s="19" t="str">
        <f t="shared" ref="K26" si="28">IF(F136&gt;=E136,"On Time","Order Still Needed?")</f>
        <v>On Time</v>
      </c>
      <c r="L26" s="3"/>
      <c r="M26" s="3"/>
      <c r="N26" s="3"/>
    </row>
    <row r="27" spans="1:14" x14ac:dyDescent="0.2">
      <c r="A27" s="28">
        <v>18888</v>
      </c>
      <c r="B27" s="25" t="s">
        <v>213</v>
      </c>
      <c r="C27" s="25">
        <v>12257</v>
      </c>
      <c r="D27" s="25" t="s">
        <v>325</v>
      </c>
      <c r="E27" s="25" t="s">
        <v>326</v>
      </c>
      <c r="F27" s="34">
        <f t="shared" ca="1" si="4"/>
        <v>46065</v>
      </c>
      <c r="G27" s="34">
        <v>46051</v>
      </c>
      <c r="H27" s="34">
        <f t="shared" ref="H27" si="29">G27 + 10</f>
        <v>46061</v>
      </c>
      <c r="I27" s="33" t="s">
        <v>267</v>
      </c>
      <c r="J27" s="19" t="str">
        <f t="shared" ref="J27" ca="1" si="30">IF(TODAY()&gt;H27, "ACTION NEEDED", "NO ACTION NEEDED")</f>
        <v>ACTION NEEDED</v>
      </c>
      <c r="K27" s="19" t="str">
        <f t="shared" ref="K27" si="31">IF(F137&gt;=E137,"On Time","Order Still Needed?")</f>
        <v>On Time</v>
      </c>
      <c r="L27" s="3"/>
      <c r="M27" s="3"/>
      <c r="N27" s="3"/>
    </row>
    <row r="28" spans="1:14" x14ac:dyDescent="0.2">
      <c r="A28" s="28">
        <v>18889</v>
      </c>
      <c r="B28" s="25" t="s">
        <v>212</v>
      </c>
      <c r="C28" s="25" t="s">
        <v>328</v>
      </c>
      <c r="D28" s="25" t="s">
        <v>304</v>
      </c>
      <c r="E28" s="25" t="s">
        <v>327</v>
      </c>
      <c r="F28" s="34">
        <f t="shared" ca="1" si="4"/>
        <v>46065</v>
      </c>
      <c r="G28" s="34">
        <v>46051</v>
      </c>
      <c r="H28" s="34">
        <f t="shared" ref="H28" si="32">G28 + 10</f>
        <v>46061</v>
      </c>
      <c r="I28" s="33" t="s">
        <v>267</v>
      </c>
      <c r="J28" s="19" t="str">
        <f t="shared" ref="J28" ca="1" si="33">IF(TODAY()&gt;H28, "ACTION NEEDED", "NO ACTION NEEDED")</f>
        <v>ACTION NEEDED</v>
      </c>
      <c r="K28" s="19" t="str">
        <f t="shared" ref="K28" si="34">IF(F138&gt;=E138,"On Time","Order Still Needed?")</f>
        <v>On Time</v>
      </c>
      <c r="L28" s="3"/>
      <c r="M28" s="3"/>
      <c r="N28" s="3"/>
    </row>
    <row r="29" spans="1:14" x14ac:dyDescent="0.2">
      <c r="A29" s="28">
        <v>18891</v>
      </c>
      <c r="B29" s="25" t="s">
        <v>212</v>
      </c>
      <c r="C29" s="25" t="s">
        <v>331</v>
      </c>
      <c r="D29" s="25" t="s">
        <v>332</v>
      </c>
      <c r="E29" s="25" t="s">
        <v>333</v>
      </c>
      <c r="F29" s="34">
        <f t="shared" ca="1" si="4"/>
        <v>46065</v>
      </c>
      <c r="G29" s="34">
        <v>46051</v>
      </c>
      <c r="H29" s="34">
        <f t="shared" ref="H29" si="35">G29 + 10</f>
        <v>46061</v>
      </c>
      <c r="I29" s="33" t="s">
        <v>267</v>
      </c>
      <c r="J29" s="19" t="str">
        <f t="shared" ref="J29" ca="1" si="36">IF(TODAY()&gt;H29, "ACTION NEEDED", "NO ACTION NEEDED")</f>
        <v>ACTION NEEDED</v>
      </c>
      <c r="K29" s="19" t="str">
        <f t="shared" ref="K29" si="37">IF(F139&gt;=E139,"On Time","Order Still Needed?")</f>
        <v>On Time</v>
      </c>
      <c r="L29" s="3"/>
      <c r="M29" s="3"/>
      <c r="N29" s="3"/>
    </row>
    <row r="30" spans="1:14" x14ac:dyDescent="0.2">
      <c r="A30" s="28">
        <v>17372</v>
      </c>
      <c r="B30" s="25" t="s">
        <v>212</v>
      </c>
      <c r="C30" s="25" t="s">
        <v>334</v>
      </c>
      <c r="D30" s="25" t="s">
        <v>335</v>
      </c>
      <c r="E30" s="25" t="s">
        <v>336</v>
      </c>
      <c r="F30" s="34">
        <f t="shared" ca="1" si="4"/>
        <v>46065</v>
      </c>
      <c r="G30" s="34">
        <v>46051</v>
      </c>
      <c r="H30" s="34">
        <f t="shared" ref="H30" si="38">G30 + 10</f>
        <v>46061</v>
      </c>
      <c r="I30" s="33" t="s">
        <v>267</v>
      </c>
      <c r="J30" s="19" t="str">
        <f t="shared" ref="J30" ca="1" si="39">IF(TODAY()&gt;H30, "ACTION NEEDED", "NO ACTION NEEDED")</f>
        <v>ACTION NEEDED</v>
      </c>
      <c r="K30" s="19" t="str">
        <f t="shared" ref="K30" si="40">IF(F140&gt;=E140,"On Time","Order Still Needed?")</f>
        <v>On Time</v>
      </c>
      <c r="L30" s="3"/>
      <c r="M30" s="3"/>
      <c r="N30" s="3"/>
    </row>
    <row r="31" spans="1:14" x14ac:dyDescent="0.2">
      <c r="A31" s="28">
        <v>17372</v>
      </c>
      <c r="B31" s="25" t="s">
        <v>212</v>
      </c>
      <c r="C31" s="25" t="s">
        <v>337</v>
      </c>
      <c r="D31" s="25" t="s">
        <v>335</v>
      </c>
      <c r="E31" s="25" t="s">
        <v>336</v>
      </c>
      <c r="F31" s="34">
        <f t="shared" ca="1" si="4"/>
        <v>46065</v>
      </c>
      <c r="G31" s="34">
        <v>46051</v>
      </c>
      <c r="H31" s="34">
        <f t="shared" ref="H31" si="41">G31 + 10</f>
        <v>46061</v>
      </c>
      <c r="I31" s="33" t="s">
        <v>267</v>
      </c>
      <c r="J31" s="19" t="str">
        <f t="shared" ref="J31" ca="1" si="42">IF(TODAY()&gt;H31, "ACTION NEEDED", "NO ACTION NEEDED")</f>
        <v>ACTION NEEDED</v>
      </c>
      <c r="K31" s="19" t="str">
        <f t="shared" ref="K31" si="43">IF(F141&gt;=E141,"On Time","Order Still Needed?")</f>
        <v>On Time</v>
      </c>
      <c r="L31" s="3"/>
      <c r="M31" s="3"/>
      <c r="N31" s="3"/>
    </row>
    <row r="32" spans="1:14" x14ac:dyDescent="0.2">
      <c r="A32" s="28">
        <v>18897</v>
      </c>
      <c r="B32" s="25" t="s">
        <v>212</v>
      </c>
      <c r="C32" s="25" t="s">
        <v>338</v>
      </c>
      <c r="D32" s="33" t="s">
        <v>289</v>
      </c>
      <c r="E32" s="25" t="s">
        <v>339</v>
      </c>
      <c r="F32" s="34">
        <f ca="1">TODAY()</f>
        <v>46065</v>
      </c>
      <c r="G32" s="34">
        <v>46051</v>
      </c>
      <c r="H32" s="34">
        <f>G32 + 10</f>
        <v>46061</v>
      </c>
      <c r="I32" s="33" t="s">
        <v>87</v>
      </c>
      <c r="J32" s="19" t="str">
        <f ca="1">IF(TODAY()&gt;H32, "ACTION NEEDED", "NO ACTION NEEDED")</f>
        <v>ACTION NEEDED</v>
      </c>
      <c r="K32" s="19" t="str">
        <f>IF(F142&gt;=E142,"On Time","Order Still Needed?")</f>
        <v>On Time</v>
      </c>
      <c r="L32" s="3"/>
      <c r="M32" s="3"/>
      <c r="N32" s="3"/>
    </row>
    <row r="33" spans="1:14" x14ac:dyDescent="0.2">
      <c r="A33" s="28">
        <v>18901</v>
      </c>
      <c r="B33" s="25" t="s">
        <v>212</v>
      </c>
      <c r="C33" s="25" t="s">
        <v>340</v>
      </c>
      <c r="D33" s="25" t="s">
        <v>283</v>
      </c>
      <c r="E33" s="25" t="s">
        <v>167</v>
      </c>
      <c r="F33" s="34">
        <f ca="1">TODAY()</f>
        <v>46065</v>
      </c>
      <c r="G33" s="34">
        <v>46051</v>
      </c>
      <c r="H33" s="34">
        <f>G33 + 10</f>
        <v>46061</v>
      </c>
      <c r="I33" s="33" t="s">
        <v>87</v>
      </c>
      <c r="J33" s="19" t="str">
        <f ca="1">IF(TODAY()&gt;H33, "ACTION NEEDED", "NO ACTION NEEDED")</f>
        <v>ACTION NEEDED</v>
      </c>
      <c r="K33" s="19" t="str">
        <f>IF(F143&gt;=E143,"On Time","Order Still Needed?")</f>
        <v>On Time</v>
      </c>
      <c r="L33" s="3"/>
      <c r="M33" s="3"/>
      <c r="N33" s="3"/>
    </row>
    <row r="34" spans="1:14" x14ac:dyDescent="0.2">
      <c r="A34" s="28">
        <v>18900</v>
      </c>
      <c r="B34" s="25" t="s">
        <v>213</v>
      </c>
      <c r="C34" s="25">
        <v>12264</v>
      </c>
      <c r="D34" s="25" t="s">
        <v>283</v>
      </c>
      <c r="E34" s="25" t="s">
        <v>167</v>
      </c>
      <c r="F34" s="34">
        <f ca="1">TODAY()</f>
        <v>46065</v>
      </c>
      <c r="G34" s="34">
        <v>46051</v>
      </c>
      <c r="H34" s="34">
        <f>G34 + 10</f>
        <v>46061</v>
      </c>
      <c r="I34" s="33" t="s">
        <v>87</v>
      </c>
      <c r="J34" s="19" t="str">
        <f ca="1">IF(TODAY()&gt;H34, "ACTION NEEDED", "NO ACTION NEEDED")</f>
        <v>ACTION NEEDED</v>
      </c>
      <c r="K34" s="19" t="str">
        <f>IF(F144&gt;=E144,"On Time","Order Still Needed?")</f>
        <v>On Time</v>
      </c>
      <c r="L34" s="3"/>
      <c r="M34" s="3"/>
      <c r="N34" s="3"/>
    </row>
    <row r="35" spans="1:14" x14ac:dyDescent="0.2">
      <c r="A35" s="28">
        <v>18903</v>
      </c>
      <c r="B35" s="25" t="s">
        <v>212</v>
      </c>
      <c r="C35" s="25" t="s">
        <v>341</v>
      </c>
      <c r="D35" s="25" t="s">
        <v>32</v>
      </c>
      <c r="E35" s="25" t="s">
        <v>342</v>
      </c>
      <c r="F35" s="34">
        <f ca="1">TODAY()</f>
        <v>46065</v>
      </c>
      <c r="G35" s="34">
        <v>46051</v>
      </c>
      <c r="H35" s="34">
        <f>G35 + 10</f>
        <v>46061</v>
      </c>
      <c r="I35" s="33" t="s">
        <v>87</v>
      </c>
      <c r="J35" s="19" t="str">
        <f ca="1">IF(TODAY()&gt;H35, "ACTION NEEDED", "NO ACTION NEEDED")</f>
        <v>ACTION NEEDED</v>
      </c>
      <c r="K35" s="19" t="str">
        <f>IF(F145&gt;=E145,"On Time","Order Still Needed?")</f>
        <v>On Time</v>
      </c>
      <c r="L35" s="3"/>
      <c r="M35" s="3"/>
      <c r="N35" s="3"/>
    </row>
    <row r="36" spans="1:14" x14ac:dyDescent="0.2">
      <c r="A36" s="28">
        <v>18905</v>
      </c>
      <c r="B36" s="25" t="s">
        <v>213</v>
      </c>
      <c r="C36" s="25">
        <v>12266</v>
      </c>
      <c r="D36" s="25" t="s">
        <v>32</v>
      </c>
      <c r="E36" s="25" t="s">
        <v>342</v>
      </c>
      <c r="F36" s="34">
        <f ca="1">TODAY()</f>
        <v>46065</v>
      </c>
      <c r="G36" s="34">
        <v>46051</v>
      </c>
      <c r="H36" s="34">
        <f>G36 + 10</f>
        <v>46061</v>
      </c>
      <c r="I36" s="33" t="s">
        <v>87</v>
      </c>
      <c r="J36" s="19" t="str">
        <f ca="1">IF(TODAY()&gt;H36, "ACTION NEEDED", "NO ACTION NEEDED")</f>
        <v>ACTION NEEDED</v>
      </c>
      <c r="K36" s="19" t="str">
        <f>IF(F146&gt;=E146,"On Time","Order Still Needed?")</f>
        <v>On Time</v>
      </c>
      <c r="L36" s="3"/>
      <c r="M36" s="3"/>
      <c r="N36" s="3"/>
    </row>
    <row r="37" spans="1:14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</sheetData>
  <autoFilter ref="A1:N1" xr:uid="{3CFC4BDB-D1B1-754E-9D2D-4AF183D21447}"/>
  <conditionalFormatting sqref="J1:J36">
    <cfRule type="containsText" dxfId="47" priority="109" operator="containsText" text="NO ACTION NEEDED">
      <formula>NOT(ISERROR(SEARCH("NO ACTION NEEDED",J1)))</formula>
    </cfRule>
    <cfRule type="containsText" dxfId="46" priority="110" operator="containsText" text="ACTION NEEDED">
      <formula>NOT(ISERROR(SEARCH("ACTION NEEDED",J1)))</formula>
    </cfRule>
  </conditionalFormatting>
  <conditionalFormatting sqref="J2:K23">
    <cfRule type="cellIs" dxfId="45" priority="70" operator="equal">
      <formula>"Maria"</formula>
    </cfRule>
    <cfRule type="cellIs" dxfId="44" priority="69" operator="equal">
      <formula>"Patricia"</formula>
    </cfRule>
  </conditionalFormatting>
  <conditionalFormatting sqref="K1:K36">
    <cfRule type="containsText" dxfId="43" priority="108" operator="containsText" text="On Time">
      <formula>NOT(ISERROR(SEARCH("On Time",K1)))</formula>
    </cfRule>
    <cfRule type="containsText" dxfId="42" priority="107" operator="containsText" text="Order Still Needed">
      <formula>NOT(ISERROR(SEARCH("Order Still Needed",K1)))</formula>
    </cfRule>
  </conditionalFormatting>
  <conditionalFormatting sqref="L1:L5">
    <cfRule type="containsText" dxfId="41" priority="60" operator="containsText" text="RETURNS">
      <formula>NOT(ISERROR(SEARCH("RETURNS",L1)))</formula>
    </cfRule>
    <cfRule type="containsText" dxfId="40" priority="62" operator="containsText" text="Maria">
      <formula>NOT(ISERROR(SEARCH("Maria",L1)))</formula>
    </cfRule>
    <cfRule type="containsText" dxfId="39" priority="61" operator="containsText" text="Patricia">
      <formula>NOT(ISERROR(SEARCH("Patricia",L1)))</formula>
    </cfRule>
  </conditionalFormatting>
  <conditionalFormatting sqref="L7:L15">
    <cfRule type="containsText" dxfId="38" priority="33" operator="containsText" text="RETURNS">
      <formula>NOT(ISERROR(SEARCH("RETURNS",L7)))</formula>
    </cfRule>
    <cfRule type="containsText" dxfId="37" priority="34" operator="containsText" text="Patricia">
      <formula>NOT(ISERROR(SEARCH("Patricia",L7)))</formula>
    </cfRule>
    <cfRule type="containsText" dxfId="36" priority="35" operator="containsText" text="Maria">
      <formula>NOT(ISERROR(SEARCH("Maria",L7)))</formula>
    </cfRule>
  </conditionalFormatting>
  <conditionalFormatting sqref="L17:L19">
    <cfRule type="containsText" dxfId="35" priority="28" operator="containsText" text="Patricia">
      <formula>NOT(ISERROR(SEARCH("Patricia",L17)))</formula>
    </cfRule>
    <cfRule type="containsText" dxfId="34" priority="29" operator="containsText" text="Maria">
      <formula>NOT(ISERROR(SEARCH("Maria",L17)))</formula>
    </cfRule>
    <cfRule type="containsText" dxfId="33" priority="27" operator="containsText" text="RETURNS">
      <formula>NOT(ISERROR(SEARCH("RETURNS",L17)))</formula>
    </cfRule>
  </conditionalFormatting>
  <conditionalFormatting sqref="N3:N5 C3:C5">
    <cfRule type="duplicateValues" dxfId="32" priority="216"/>
  </conditionalFormatting>
  <conditionalFormatting sqref="N6 C6">
    <cfRule type="duplicateValues" dxfId="31" priority="111"/>
  </conditionalFormatting>
  <conditionalFormatting sqref="J24:K24">
    <cfRule type="cellIs" dxfId="30" priority="25" operator="equal">
      <formula>"Patricia"</formula>
    </cfRule>
    <cfRule type="cellIs" dxfId="29" priority="26" operator="equal">
      <formula>"Maria"</formula>
    </cfRule>
  </conditionalFormatting>
  <conditionalFormatting sqref="J25:K25">
    <cfRule type="cellIs" dxfId="28" priority="23" operator="equal">
      <formula>"Patricia"</formula>
    </cfRule>
    <cfRule type="cellIs" dxfId="27" priority="24" operator="equal">
      <formula>"Maria"</formula>
    </cfRule>
  </conditionalFormatting>
  <conditionalFormatting sqref="J26:K26">
    <cfRule type="cellIs" dxfId="26" priority="21" operator="equal">
      <formula>"Patricia"</formula>
    </cfRule>
    <cfRule type="cellIs" dxfId="25" priority="22" operator="equal">
      <formula>"Maria"</formula>
    </cfRule>
  </conditionalFormatting>
  <conditionalFormatting sqref="J27:K27">
    <cfRule type="cellIs" dxfId="24" priority="19" operator="equal">
      <formula>"Patricia"</formula>
    </cfRule>
    <cfRule type="cellIs" dxfId="23" priority="20" operator="equal">
      <formula>"Maria"</formula>
    </cfRule>
  </conditionalFormatting>
  <conditionalFormatting sqref="J28:K28">
    <cfRule type="cellIs" dxfId="22" priority="17" operator="equal">
      <formula>"Patricia"</formula>
    </cfRule>
    <cfRule type="cellIs" dxfId="21" priority="18" operator="equal">
      <formula>"Maria"</formula>
    </cfRule>
  </conditionalFormatting>
  <conditionalFormatting sqref="J29:K29">
    <cfRule type="cellIs" dxfId="20" priority="15" operator="equal">
      <formula>"Patricia"</formula>
    </cfRule>
    <cfRule type="cellIs" dxfId="19" priority="16" operator="equal">
      <formula>"Maria"</formula>
    </cfRule>
  </conditionalFormatting>
  <conditionalFormatting sqref="J30:K30">
    <cfRule type="cellIs" dxfId="18" priority="13" operator="equal">
      <formula>"Patricia"</formula>
    </cfRule>
    <cfRule type="cellIs" dxfId="17" priority="14" operator="equal">
      <formula>"Maria"</formula>
    </cfRule>
  </conditionalFormatting>
  <conditionalFormatting sqref="J31:K31">
    <cfRule type="cellIs" dxfId="16" priority="11" operator="equal">
      <formula>"Patricia"</formula>
    </cfRule>
    <cfRule type="cellIs" dxfId="15" priority="12" operator="equal">
      <formula>"Maria"</formula>
    </cfRule>
  </conditionalFormatting>
  <conditionalFormatting sqref="J32:K32">
    <cfRule type="cellIs" dxfId="14" priority="9" operator="equal">
      <formula>"Patricia"</formula>
    </cfRule>
    <cfRule type="cellIs" dxfId="13" priority="10" operator="equal">
      <formula>"Maria"</formula>
    </cfRule>
  </conditionalFormatting>
  <conditionalFormatting sqref="J33:K33">
    <cfRule type="cellIs" dxfId="12" priority="7" operator="equal">
      <formula>"Patricia"</formula>
    </cfRule>
    <cfRule type="cellIs" dxfId="11" priority="8" operator="equal">
      <formula>"Maria"</formula>
    </cfRule>
  </conditionalFormatting>
  <conditionalFormatting sqref="J34:K34">
    <cfRule type="cellIs" dxfId="10" priority="5" operator="equal">
      <formula>"Patricia"</formula>
    </cfRule>
    <cfRule type="cellIs" dxfId="9" priority="6" operator="equal">
      <formula>"Maria"</formula>
    </cfRule>
  </conditionalFormatting>
  <conditionalFormatting sqref="J35:K35">
    <cfRule type="cellIs" dxfId="8" priority="3" operator="equal">
      <formula>"Patricia"</formula>
    </cfRule>
    <cfRule type="cellIs" dxfId="7" priority="4" operator="equal">
      <formula>"Maria"</formula>
    </cfRule>
  </conditionalFormatting>
  <conditionalFormatting sqref="J36:K36">
    <cfRule type="cellIs" dxfId="6" priority="1" operator="equal">
      <formula>"Patricia"</formula>
    </cfRule>
    <cfRule type="cellIs" dxfId="5" priority="2" operator="equal">
      <formula>"Maria"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Riano</dc:creator>
  <cp:lastModifiedBy>Felipe Riano</cp:lastModifiedBy>
  <dcterms:created xsi:type="dcterms:W3CDTF">2025-12-30T20:07:58Z</dcterms:created>
  <dcterms:modified xsi:type="dcterms:W3CDTF">2026-02-12T19:03:03Z</dcterms:modified>
</cp:coreProperties>
</file>